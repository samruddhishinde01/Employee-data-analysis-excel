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2f4b71a81a597811/Desktop/Data Analyst/"/>
    </mc:Choice>
  </mc:AlternateContent>
  <xr:revisionPtr revIDLastSave="0" documentId="8_{FAF22043-24C0-4495-8992-0D1E1CA560E8}" xr6:coauthVersionLast="47" xr6:coauthVersionMax="47" xr10:uidLastSave="{00000000-0000-0000-0000-000000000000}"/>
  <bookViews>
    <workbookView xWindow="-108" yWindow="-108" windowWidth="23256" windowHeight="12456" xr2:uid="{479A5DC7-D62D-4F34-AE00-21FC4C70EAA6}"/>
  </bookViews>
  <sheets>
    <sheet name="employee table" sheetId="1" r:id="rId1"/>
    <sheet name="questions with solutions" sheetId="2" r:id="rId2"/>
  </sheets>
  <externalReferences>
    <externalReference r:id="rId3"/>
  </externalReferences>
  <definedNames>
    <definedName name="Slicer_City">#N/A</definedName>
    <definedName name="Slicer_Department">#N/A</definedName>
    <definedName name="Slicer_Gende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45" i="2" l="1" a="1"/>
  <c r="U45" i="2" s="1"/>
  <c r="U39" i="2" a="1"/>
  <c r="U39" i="2" s="1"/>
  <c r="M46" i="2"/>
  <c r="M45" i="2"/>
  <c r="M44" i="2"/>
  <c r="M43" i="2"/>
  <c r="M42" i="2"/>
  <c r="M40" i="2"/>
  <c r="M39" i="2"/>
  <c r="N60" i="2" a="1"/>
  <c r="N60" i="2" s="1"/>
  <c r="R53" i="2"/>
  <c r="Q52" i="2"/>
  <c r="R48" i="2"/>
  <c r="R47" i="2"/>
  <c r="Q45" i="2"/>
  <c r="Q44" i="2"/>
  <c r="R42" i="2"/>
  <c r="R41" i="2"/>
  <c r="Q39" i="2"/>
  <c r="Q38" i="2"/>
  <c r="R60" i="2" a="1"/>
  <c r="R60" i="2" s="1"/>
  <c r="P61" i="2" a="1"/>
  <c r="P61" i="2" s="1"/>
  <c r="P100" i="2"/>
  <c r="P99" i="2"/>
  <c r="P98" i="2"/>
  <c r="P97" i="2"/>
  <c r="P19" i="2" a="1"/>
  <c r="P19" i="2" s="1"/>
  <c r="O19" i="2" a="1"/>
  <c r="O19" i="2" s="1"/>
  <c r="N19" i="2" a="1"/>
  <c r="N19" i="2" s="1"/>
  <c r="M19" i="2" a="1"/>
  <c r="M19" i="2" s="1"/>
  <c r="K19" i="2" a="1"/>
  <c r="K19" i="2" s="1"/>
  <c r="M15" i="2"/>
  <c r="M14" i="2"/>
  <c r="M13" i="2"/>
  <c r="L12" i="2"/>
  <c r="L11" i="2"/>
  <c r="M10" i="2"/>
  <c r="M9" i="2"/>
  <c r="L8" i="2"/>
  <c r="L5" i="2"/>
  <c r="L7" i="2"/>
  <c r="L6" i="2"/>
  <c r="L4"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<sst xmlns="http://schemas.openxmlformats.org/spreadsheetml/2006/main" count="320" uniqueCount="224">
  <si>
    <t>Employee ID</t>
  </si>
  <si>
    <t>Employee Name</t>
  </si>
  <si>
    <t>Gender</t>
  </si>
  <si>
    <t>Department</t>
  </si>
  <si>
    <t>Designation</t>
  </si>
  <si>
    <t>Join Date</t>
  </si>
  <si>
    <t>City</t>
  </si>
  <si>
    <t>State</t>
  </si>
  <si>
    <t>Salary</t>
  </si>
  <si>
    <t>Bonus</t>
  </si>
  <si>
    <t>Experience (Years)</t>
  </si>
  <si>
    <t>Performance Rating</t>
  </si>
  <si>
    <t>Attendance %</t>
  </si>
  <si>
    <t>Status</t>
  </si>
  <si>
    <t>EMP008</t>
  </si>
  <si>
    <t>Pooja Nair</t>
  </si>
  <si>
    <t>Female</t>
  </si>
  <si>
    <t>HR</t>
  </si>
  <si>
    <t>Executive</t>
  </si>
  <si>
    <t>30-Sep-2023</t>
  </si>
  <si>
    <t>Kerala</t>
  </si>
  <si>
    <t>Active</t>
  </si>
  <si>
    <t>EMP005</t>
  </si>
  <si>
    <t>Karan Mehta</t>
  </si>
  <si>
    <t>Male</t>
  </si>
  <si>
    <t>Marketing</t>
  </si>
  <si>
    <t>12-Jun-2022</t>
  </si>
  <si>
    <t>Ahmedabad</t>
  </si>
  <si>
    <t>Gujarat</t>
  </si>
  <si>
    <t>EMP003</t>
  </si>
  <si>
    <t>Rahul Singh</t>
  </si>
  <si>
    <t>IT</t>
  </si>
  <si>
    <t>Developer</t>
  </si>
  <si>
    <t>10-Jul-2021</t>
  </si>
  <si>
    <t>Bengaluru</t>
  </si>
  <si>
    <t>Karnataka</t>
  </si>
  <si>
    <t>EMP009</t>
  </si>
  <si>
    <t>Vivek Kumar</t>
  </si>
  <si>
    <t>Finance</t>
  </si>
  <si>
    <t>Analyst</t>
  </si>
  <si>
    <t>18-Nov-2020</t>
  </si>
  <si>
    <t>Jaipur</t>
  </si>
  <si>
    <t>Rajasthan</t>
  </si>
  <si>
    <t>EMP001</t>
  </si>
  <si>
    <t>Amit Sharma</t>
  </si>
  <si>
    <t>Sales</t>
  </si>
  <si>
    <t>15-Jan-2020</t>
  </si>
  <si>
    <t>Maharashtra</t>
  </si>
  <si>
    <t>EMP004</t>
  </si>
  <si>
    <t>Sneha Gupta</t>
  </si>
  <si>
    <t>Accountant</t>
  </si>
  <si>
    <t>01-Feb-2019</t>
  </si>
  <si>
    <t>Delhi</t>
  </si>
  <si>
    <t>EMP002</t>
  </si>
  <si>
    <t>Priya Patel</t>
  </si>
  <si>
    <t>Manager</t>
  </si>
  <si>
    <t>20-Mar-2018</t>
  </si>
  <si>
    <t>Mumbai</t>
  </si>
  <si>
    <t>EMP006</t>
  </si>
  <si>
    <t>Neha Joshi</t>
  </si>
  <si>
    <t>05-May-2017</t>
  </si>
  <si>
    <t>Hyderabad</t>
  </si>
  <si>
    <t>Telangana</t>
  </si>
  <si>
    <t>EMP007</t>
  </si>
  <si>
    <t>Arjun Verma</t>
  </si>
  <si>
    <t>22-Aug-2016</t>
  </si>
  <si>
    <t>Chennai</t>
  </si>
  <si>
    <t>Tamil Nadu</t>
  </si>
  <si>
    <t>EMP010</t>
  </si>
  <si>
    <t>Riya Das</t>
  </si>
  <si>
    <t>08-Apr-2015</t>
  </si>
  <si>
    <t>Kolkata</t>
  </si>
  <si>
    <t>West Bengal</t>
  </si>
  <si>
    <t>Find the Total Salary of all employees.</t>
  </si>
  <si>
    <t>Find the Average Salary.</t>
  </si>
  <si>
    <t>Find the Highest Salary.</t>
  </si>
  <si>
    <t>Find the Lowest Salary.</t>
  </si>
  <si>
    <t>Count the Total Employees.</t>
  </si>
  <si>
    <t>Count the number of Female employees.</t>
  </si>
  <si>
    <t>Count the number of Male employees.</t>
  </si>
  <si>
    <t>Count employees in the IT department.</t>
  </si>
  <si>
    <t>Find the Total Bonus.</t>
  </si>
  <si>
    <t>Find the Average Bonus.</t>
  </si>
  <si>
    <t>Calculate Annual Salary for each employee.</t>
  </si>
  <si>
    <t>Calculate Total Compensation (Salary + Bonus).</t>
  </si>
  <si>
    <t>Find employees with a salary greater than 50,000.</t>
  </si>
  <si>
    <t>Find employees with a salary less than 40,000.</t>
  </si>
  <si>
    <t>Filter only Female employees from IT department.</t>
  </si>
  <si>
    <t>Filter employees with Performance Rating = 5.</t>
  </si>
  <si>
    <t>Filter employees with Attendance above 95%.</t>
  </si>
  <si>
    <t>Sort Salary from Highest to Lowest.</t>
  </si>
  <si>
    <t>Sort Experience from Lowest to Highest.</t>
  </si>
  <si>
    <t>Find employees who joined after 2020.</t>
  </si>
  <si>
    <t>Find employees who joined before 2019.</t>
  </si>
  <si>
    <t>Count Active employees.</t>
  </si>
  <si>
    <t>Find the total salary of Female employees.</t>
  </si>
  <si>
    <t>Find the average salary of Male employees.</t>
  </si>
  <si>
    <t>Count employees from Maharashtra.</t>
  </si>
  <si>
    <t>Find employees whose name starts with A.</t>
  </si>
  <si>
    <t>Find employees whose name contains a.</t>
  </si>
  <si>
    <t>Extract the Year from Join Date.</t>
  </si>
  <si>
    <t>Extract the Month from Join Date.</t>
  </si>
  <si>
    <t>Extract the Day from Join Date.</t>
  </si>
  <si>
    <t>Calculate years of experience from Join Date.</t>
  </si>
  <si>
    <t>Find employees with more than 5 years of experience.</t>
  </si>
  <si>
    <t>Round Salary to the nearest 1,000.</t>
  </si>
  <si>
    <t>Find the remainder when Salary is divided by 1,000.</t>
  </si>
  <si>
    <t>Convert employee names to UPPERCASE.</t>
  </si>
  <si>
    <t>🟡 Intermediate Level (36–70)</t>
  </si>
  <si>
    <t>Convert employee names to lowercase.</t>
  </si>
  <si>
    <t>Convert employee names to Proper Case.</t>
  </si>
  <si>
    <t>Find the length of each Employee Name.</t>
  </si>
  <si>
    <t>Extract the first name from Employee Name.</t>
  </si>
  <si>
    <t>Extract the last name from Employee Name.</t>
  </si>
  <si>
    <t>Combine Employee Name and Department.</t>
  </si>
  <si>
    <t>Create a unique Employee Code using Employee ID + Department.</t>
  </si>
  <si>
    <t>Classify salary as High, Medium, or Low.</t>
  </si>
  <si>
    <t>Classify employees as Junior, Mid-Level, or Experienced based on Experience.</t>
  </si>
  <si>
    <t>Calculate a 10% salary increment.</t>
  </si>
  <si>
    <t>Calculate salary after a 5% increment.</t>
  </si>
  <si>
    <t>Calculate bonus as 10% of Salary.</t>
  </si>
  <si>
    <t>Calculate Total Compensation after increment.</t>
  </si>
  <si>
    <t>Find the difference between Salary and Average Salary.</t>
  </si>
  <si>
    <t>Find the percentage of employees who are Female.</t>
  </si>
  <si>
    <t>Find the percentage of employees who are Male.</t>
  </si>
  <si>
    <t>Find the average salary by department.</t>
  </si>
  <si>
    <t>Find the total salary by department.</t>
  </si>
  <si>
    <t>Find the highest salary in each department.</t>
  </si>
  <si>
    <t>Find the lowest salary in each department.</t>
  </si>
  <si>
    <t>Count employees in each department.</t>
  </si>
  <si>
    <t>Find the average attendance by department.</t>
  </si>
  <si>
    <t>Find the average performance rating by department.</t>
  </si>
  <si>
    <t>Rank all employees based on Salary.</t>
  </si>
  <si>
    <t>Rank employees by Salary within each department.</t>
  </si>
  <si>
    <t>Find the Top 5 highest-paid employees.</t>
  </si>
  <si>
    <t>Find the Bottom 5 employees by Salary.</t>
  </si>
  <si>
    <t>Highlight employees with Salary above 80,000.</t>
  </si>
  <si>
    <t>Highlight employees with Attendance below 92%.</t>
  </si>
  <si>
    <t>Highlight employees with Performance Rating of 5.</t>
  </si>
  <si>
    <t>Find duplicate Employee IDs.</t>
  </si>
  <si>
    <t>Find duplicate Employee Names.</t>
  </si>
  <si>
    <t>Count blank cells in the dataset.</t>
  </si>
  <si>
    <t>Replace blank City values with "Unknown".</t>
  </si>
  <si>
    <t>Create a dropdown list for Department.</t>
  </si>
  <si>
    <t>🔴 Advanced Level (71–100)</t>
  </si>
  <si>
    <t>Create a PivotTable showing Total Salary by Department.</t>
  </si>
  <si>
    <t>Create a PivotTable showing Average Salary by Department.</t>
  </si>
  <si>
    <t>Create a PivotTable showing Employee Count by Department.</t>
  </si>
  <si>
    <t>Create a PivotChart to compare Salary by Department.</t>
  </si>
  <si>
    <t>Create KPI cards for Total Employees, Total Salary, Average Salary, and Highest Salary.</t>
  </si>
  <si>
    <t>Create a dynamic dashboard using PivotTables and PivotCharts.</t>
  </si>
  <si>
    <t>Add a Department slicer to the dashboard.</t>
  </si>
  <si>
    <t>Add a Gender slicer to the dashboard.</t>
  </si>
  <si>
    <t>Add a Status slicer to the dashboard.</t>
  </si>
  <si>
    <t>Create a dynamic chart showing Average Salary by Department.</t>
  </si>
  <si>
    <t>Find the employee with the highest salary using XLOOKUP.</t>
  </si>
  <si>
    <t>Find the employee with the lowest salary using XLOOKUP.</t>
  </si>
  <si>
    <t>Use INDEX + MATCH to find an employee's Salary using Employee ID.</t>
  </si>
  <si>
    <t>Use XLOOKUP to find an employee's Department using Employee ID.</t>
  </si>
  <si>
    <t>Find the second-highest salary.</t>
  </si>
  <si>
    <t>Find the third-highest salary.</t>
  </si>
  <si>
    <t>Find the highest-paid Female employee.</t>
  </si>
  <si>
    <t>Find the highest-paid employee in the IT department.</t>
  </si>
  <si>
    <t>Find the average salary of employees with Rating = 5.</t>
  </si>
  <si>
    <t>Find the total salary of employees with Attendance &gt; 95%.</t>
  </si>
  <si>
    <t>Create a dynamic list of IT department employees using FILTER.</t>
  </si>
  <si>
    <t>Create a dynamic list of Female employees using FILTER.</t>
  </si>
  <si>
    <t>Create a dynamic list of Female employees from the IT department.</t>
  </si>
  <si>
    <t>Create a unique list of all Departments using UNIQUE.</t>
  </si>
  <si>
    <t>Create a list of employees sorted by Salary using SORT.</t>
  </si>
  <si>
    <t>Use SORTBY to sort employees by Experience.</t>
  </si>
  <si>
    <t>Calculate salary percentile/rank using PERCENTRANK.</t>
  </si>
  <si>
    <t>Identify employees earning above their department average.</t>
  </si>
  <si>
    <t>Create a formula to classify employees as Excellent, Good, Average, or Poor based on Performance Rating.</t>
  </si>
  <si>
    <t>Build a complete Employee Analytics Dashboard with:</t>
  </si>
  <si>
    <t>KPI Cards</t>
  </si>
  <si>
    <t>Salary by Department Chart</t>
  </si>
  <si>
    <t>Employee Count by Department</t>
  </si>
  <si>
    <t>Gender Distribution</t>
  </si>
  <si>
    <t>Department, Gender, and Status Slicers</t>
  </si>
  <si>
    <t>sum</t>
  </si>
  <si>
    <t>max</t>
  </si>
  <si>
    <t>min</t>
  </si>
  <si>
    <t>avg</t>
  </si>
  <si>
    <t>female</t>
  </si>
  <si>
    <t>it</t>
  </si>
  <si>
    <t>male</t>
  </si>
  <si>
    <t>maharashtra</t>
  </si>
  <si>
    <t>counta</t>
  </si>
  <si>
    <t>countif</t>
  </si>
  <si>
    <t>avereage</t>
  </si>
  <si>
    <t>sumif</t>
  </si>
  <si>
    <t>averageif</t>
  </si>
  <si>
    <t>filter</t>
  </si>
  <si>
    <t>Row Labels</t>
  </si>
  <si>
    <t>Sum of Salary</t>
  </si>
  <si>
    <t>Average of Salary</t>
  </si>
  <si>
    <t>Count of Employee ID</t>
  </si>
  <si>
    <t>Grand Total</t>
  </si>
  <si>
    <t>total employees</t>
  </si>
  <si>
    <t>total salary</t>
  </si>
  <si>
    <t>(blank)</t>
  </si>
  <si>
    <t>average salary</t>
  </si>
  <si>
    <t>higest salary</t>
  </si>
  <si>
    <t xml:space="preserve">UNIQUE LIST OF </t>
  </si>
  <si>
    <t xml:space="preserve">DEPT </t>
  </si>
  <si>
    <t>SORT</t>
  </si>
  <si>
    <t>emp010</t>
  </si>
  <si>
    <t>FEMALE</t>
  </si>
  <si>
    <t>&gt;95</t>
  </si>
  <si>
    <t>xlookup</t>
  </si>
  <si>
    <t>xlookup with max</t>
  </si>
  <si>
    <t>xlookup with min</t>
  </si>
  <si>
    <t>index</t>
  </si>
  <si>
    <t>large</t>
  </si>
  <si>
    <t>xlookup with maxif</t>
  </si>
  <si>
    <t>xllokup  with maxifs</t>
  </si>
  <si>
    <t>averageifs</t>
  </si>
  <si>
    <t>sumifs</t>
  </si>
  <si>
    <t>sort by</t>
  </si>
  <si>
    <t>maxifs</t>
  </si>
  <si>
    <t>minifs</t>
  </si>
  <si>
    <t>take and sortby</t>
  </si>
  <si>
    <t>take and sort 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</si>
</sst>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Times New Roman"/>
      <family val="2"/>
    </font>
    <font>
      <b/>
      <sz val="11"/>
      <color theme="0"/>
      <name val="Aptos Narrow"/>
      <family val="2"/>
      <scheme val="minor"/>
    </font>
  </fonts>
  <fills count="7">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rgb="FFFFFF00"/>
        <bgColor indexed="64"/>
      </patternFill>
    </fill>
    <fill>
      <patternFill patternType="solid">
        <fgColor theme="0"/>
        <bgColor indexed="64"/>
      </patternFill>
    </fill>
  </fills>
  <borders count="14">
    <border>
      <left/>
      <right/>
      <top/>
      <bottom/>
      <diagonal/>
    </border>
    <border>
      <left style="thin">
        <color theme="4" tint="0.39997558519241921"/>
      </left>
      <right style="thin">
        <color theme="0"/>
      </right>
      <top style="thin">
        <color theme="4" tint="0.39997558519241921"/>
      </top>
      <bottom style="thick">
        <color theme="0"/>
      </bottom>
      <diagonal/>
    </border>
    <border>
      <left style="thin">
        <color theme="0"/>
      </left>
      <right style="thin">
        <color theme="0"/>
      </right>
      <top style="thin">
        <color theme="4" tint="0.39997558519241921"/>
      </top>
      <bottom style="thick">
        <color theme="0"/>
      </bottom>
      <diagonal/>
    </border>
    <border>
      <left style="thin">
        <color theme="0"/>
      </left>
      <right/>
      <top style="thin">
        <color theme="4" tint="0.39997558519241921"/>
      </top>
      <bottom style="thick">
        <color theme="0"/>
      </bottom>
      <diagonal/>
    </border>
    <border>
      <left style="thin">
        <color theme="4" tint="0.39997558519241921"/>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4" tint="0.39997558519241921"/>
      </left>
      <right style="thin">
        <color theme="0"/>
      </right>
      <top style="thin">
        <color theme="0"/>
      </top>
      <bottom style="thin">
        <color theme="4" tint="0.39997558519241921"/>
      </bottom>
      <diagonal/>
    </border>
    <border>
      <left style="thin">
        <color theme="0"/>
      </left>
      <right style="thin">
        <color theme="0"/>
      </right>
      <top style="thin">
        <color theme="0"/>
      </top>
      <bottom style="thin">
        <color theme="4" tint="0.39997558519241921"/>
      </bottom>
      <diagonal/>
    </border>
    <border>
      <left style="thin">
        <color theme="0"/>
      </left>
      <right/>
      <top style="thin">
        <color theme="0"/>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0" fillId="3" borderId="4" xfId="0" applyFill="1" applyBorder="1"/>
    <xf numFmtId="0" fontId="0" fillId="3" borderId="5" xfId="0" applyFill="1" applyBorder="1"/>
    <xf numFmtId="0" fontId="0" fillId="3" borderId="6" xfId="0" applyFill="1" applyBorder="1"/>
    <xf numFmtId="0" fontId="0" fillId="4" borderId="4" xfId="0" applyFill="1" applyBorder="1"/>
    <xf numFmtId="0" fontId="0" fillId="4" borderId="5" xfId="0" applyFill="1" applyBorder="1"/>
    <xf numFmtId="0" fontId="0" fillId="4" borderId="6" xfId="0" applyFill="1" applyBorder="1"/>
    <xf numFmtId="0" fontId="0" fillId="4" borderId="7" xfId="0" applyFill="1" applyBorder="1"/>
    <xf numFmtId="0" fontId="0" fillId="4" borderId="8" xfId="0" applyFill="1" applyBorder="1"/>
    <xf numFmtId="0" fontId="0" fillId="4" borderId="9" xfId="0" applyFill="1" applyBorder="1"/>
    <xf numFmtId="0" fontId="0" fillId="5" borderId="0" xfId="0" applyFill="1"/>
    <xf numFmtId="0" fontId="0" fillId="6" borderId="0" xfId="0" applyFill="1"/>
    <xf numFmtId="0" fontId="0" fillId="5" borderId="10" xfId="0" applyFill="1" applyBorder="1"/>
    <xf numFmtId="0" fontId="0" fillId="6" borderId="10" xfId="0" applyFill="1" applyBorder="1"/>
    <xf numFmtId="0" fontId="0" fillId="5" borderId="0" xfId="0" applyFill="1" applyBorder="1"/>
    <xf numFmtId="0" fontId="0" fillId="0" borderId="10" xfId="0" applyBorder="1"/>
    <xf numFmtId="0" fontId="0" fillId="5" borderId="11" xfId="0" applyFill="1" applyBorder="1"/>
    <xf numFmtId="0" fontId="0" fillId="0" borderId="11" xfId="0" applyBorder="1"/>
    <xf numFmtId="0" fontId="0" fillId="0" borderId="0" xfId="0" applyAlignment="1">
      <alignment horizontal="left"/>
    </xf>
    <xf numFmtId="0" fontId="0" fillId="0" borderId="0" xfId="0" pivotButton="1"/>
    <xf numFmtId="0" fontId="0" fillId="0" borderId="0" xfId="0" applyNumberFormat="1"/>
    <xf numFmtId="0" fontId="0" fillId="0" borderId="0" xfId="0" applyBorder="1"/>
    <xf numFmtId="0" fontId="0" fillId="5" borderId="12" xfId="0" applyFill="1" applyBorder="1"/>
    <xf numFmtId="0" fontId="0" fillId="0" borderId="12" xfId="0" applyBorder="1"/>
    <xf numFmtId="0" fontId="0" fillId="5" borderId="13" xfId="0" applyFill="1" applyBorder="1"/>
  </cellXfs>
  <cellStyles count="1">
    <cellStyle name="Normal" xfId="0" builtinId="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externalLink" Target="externalLinks/externalLink1.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5"/>
              <c:pt idx="0">
                <c:v>Finance</c:v>
              </c:pt>
              <c:pt idx="1">
                <c:v>HR</c:v>
              </c:pt>
              <c:pt idx="2">
                <c:v>IT</c:v>
              </c:pt>
              <c:pt idx="3">
                <c:v>Marketing</c:v>
              </c:pt>
              <c:pt idx="4">
                <c:v>Sales</c:v>
              </c:pt>
            </c:strLit>
          </c:cat>
          <c:val>
            <c:numLit>
              <c:formatCode>General</c:formatCode>
              <c:ptCount val="5"/>
              <c:pt idx="0">
                <c:v>53500</c:v>
              </c:pt>
              <c:pt idx="1">
                <c:v>54000</c:v>
              </c:pt>
              <c:pt idx="2">
                <c:v>70000</c:v>
              </c:pt>
              <c:pt idx="3">
                <c:v>65000</c:v>
              </c:pt>
              <c:pt idx="4">
                <c:v>65000</c:v>
              </c:pt>
            </c:numLit>
          </c:val>
          <c:extLst>
            <c:ext xmlns:c16="http://schemas.microsoft.com/office/drawing/2014/chart" uri="{C3380CC4-5D6E-409C-BE32-E72D297353CC}">
              <c16:uniqueId val="{00000000-CA25-4A9D-B010-7F361A9BA14B}"/>
            </c:ext>
          </c:extLst>
        </c:ser>
        <c:dLbls>
          <c:showLegendKey val="0"/>
          <c:showVal val="0"/>
          <c:showCatName val="0"/>
          <c:showSerName val="0"/>
          <c:showPercent val="0"/>
          <c:showBubbleSize val="0"/>
        </c:dLbls>
        <c:gapWidth val="219"/>
        <c:overlap val="-27"/>
        <c:axId val="822006815"/>
        <c:axId val="607691567"/>
      </c:barChart>
      <c:catAx>
        <c:axId val="82200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691567"/>
        <c:crosses val="autoZero"/>
        <c:auto val="1"/>
        <c:lblAlgn val="ctr"/>
        <c:lblOffset val="100"/>
        <c:noMultiLvlLbl val="0"/>
      </c:catAx>
      <c:valAx>
        <c:axId val="607691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006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34</xdr:col>
      <xdr:colOff>47719</xdr:colOff>
      <xdr:row>96</xdr:row>
      <xdr:rowOff>2961</xdr:rowOff>
    </xdr:from>
    <xdr:to>
      <xdr:col>37</xdr:col>
      <xdr:colOff>37559</xdr:colOff>
      <xdr:row>109</xdr:row>
      <xdr:rowOff>104800</xdr:rowOff>
    </xdr:to>
    <mc:AlternateContent xmlns:mc="http://schemas.openxmlformats.org/markup-compatibility/2006">
      <mc:Choice xmlns:a14="http://schemas.microsoft.com/office/drawing/2010/main" Requires="a14">
        <xdr:graphicFrame macro="">
          <xdr:nvGraphicFramePr>
            <xdr:cNvPr id="6" name="Gender">
              <a:extLst>
                <a:ext uri="{FF2B5EF4-FFF2-40B4-BE49-F238E27FC236}">
                  <a16:creationId xmlns:a16="http://schemas.microsoft.com/office/drawing/2014/main" id="{DEF22857-3A40-4D60-8702-7D34647A5CC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5250163" y="16258961"/>
              <a:ext cx="1852507" cy="23031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22483</xdr:colOff>
      <xdr:row>95</xdr:row>
      <xdr:rowOff>114373</xdr:rowOff>
    </xdr:from>
    <xdr:to>
      <xdr:col>29</xdr:col>
      <xdr:colOff>20980</xdr:colOff>
      <xdr:row>109</xdr:row>
      <xdr:rowOff>33995</xdr:rowOff>
    </xdr:to>
    <mc:AlternateContent xmlns:mc="http://schemas.openxmlformats.org/markup-compatibility/2006">
      <mc:Choice xmlns:a14="http://schemas.microsoft.com/office/drawing/2010/main" Requires="a14">
        <xdr:graphicFrame macro="">
          <xdr:nvGraphicFramePr>
            <xdr:cNvPr id="7" name="Department 1">
              <a:extLst>
                <a:ext uri="{FF2B5EF4-FFF2-40B4-BE49-F238E27FC236}">
                  <a16:creationId xmlns:a16="http://schemas.microsoft.com/office/drawing/2014/main" id="{F1BDAEF2-CD84-402E-8CE9-B04949F83434}"/>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20257816" y="16201040"/>
              <a:ext cx="1861164" cy="22902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69734</xdr:colOff>
      <xdr:row>95</xdr:row>
      <xdr:rowOff>141417</xdr:rowOff>
    </xdr:from>
    <xdr:to>
      <xdr:col>33</xdr:col>
      <xdr:colOff>67161</xdr:colOff>
      <xdr:row>109</xdr:row>
      <xdr:rowOff>58982</xdr:rowOff>
    </xdr:to>
    <mc:AlternateContent xmlns:mc="http://schemas.openxmlformats.org/markup-compatibility/2006">
      <mc:Choice xmlns:a14="http://schemas.microsoft.com/office/drawing/2010/main" Requires="a14">
        <xdr:graphicFrame macro="">
          <xdr:nvGraphicFramePr>
            <xdr:cNvPr id="8" name="City">
              <a:extLst>
                <a:ext uri="{FF2B5EF4-FFF2-40B4-BE49-F238E27FC236}">
                  <a16:creationId xmlns:a16="http://schemas.microsoft.com/office/drawing/2014/main" id="{81D5A45C-B2F8-4211-8614-F3E5AA5464A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22788623" y="16228084"/>
              <a:ext cx="1860094" cy="22882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20877</xdr:colOff>
      <xdr:row>75</xdr:row>
      <xdr:rowOff>41754</xdr:rowOff>
    </xdr:from>
    <xdr:to>
      <xdr:col>32</xdr:col>
      <xdr:colOff>430242</xdr:colOff>
      <xdr:row>90</xdr:row>
      <xdr:rowOff>168823</xdr:rowOff>
    </xdr:to>
    <xdr:graphicFrame macro="">
      <xdr:nvGraphicFramePr>
        <xdr:cNvPr id="10" name="Chart 9">
          <a:extLst>
            <a:ext uri="{FF2B5EF4-FFF2-40B4-BE49-F238E27FC236}">
              <a16:creationId xmlns:a16="http://schemas.microsoft.com/office/drawing/2014/main" id="{67064A0B-68D8-42D6-9B3B-EFF21EF8D0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f4b71a81a597811/Desktop/Data%20Analyst/excel.xlsx" TargetMode="External"/><Relationship Id="rId1" Type="http://schemas.openxmlformats.org/officeDocument/2006/relationships/externalLinkPath" Target="exc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eet2"/>
    </sheetNames>
    <sheetDataSet>
      <sheetData sheetId="0"/>
      <sheetData sheetId="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excel.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excel.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69.737098379628" createdVersion="8" refreshedVersion="8" minRefreshableVersion="3" recordCount="10" xr:uid="{2A87A8CD-6B3C-49E4-A230-A4AAA5A257E8}">
  <cacheSource type="worksheet">
    <worksheetSource name="Table1" r:id="rId2"/>
  </cacheSource>
  <cacheFields count="37">
    <cacheField name="Employee ID" numFmtId="0">
      <sharedItems count="10">
        <s v="EMP008"/>
        <s v="EMP005"/>
        <s v="EMP003"/>
        <s v="EMP009"/>
        <s v="EMP001"/>
        <s v="EMP004"/>
        <s v="EMP002"/>
        <s v="EMP006"/>
        <s v="EMP007"/>
        <s v="EMP010"/>
      </sharedItems>
    </cacheField>
    <cacheField name="Employee Name" numFmtId="0">
      <sharedItems/>
    </cacheField>
    <cacheField name="Gender" numFmtId="0">
      <sharedItems count="2">
        <s v="Female"/>
        <s v="Male"/>
      </sharedItems>
    </cacheField>
    <cacheField name="Department" numFmtId="0">
      <sharedItems count="5">
        <s v="HR"/>
        <s v="Marketing"/>
        <s v="IT"/>
        <s v="Finance"/>
        <s v="Sales"/>
      </sharedItems>
    </cacheField>
    <cacheField name="Designation" numFmtId="0">
      <sharedItems/>
    </cacheField>
    <cacheField name="Join Date" numFmtId="0">
      <sharedItems/>
    </cacheField>
    <cacheField name="City" numFmtId="0">
      <sharedItems containsBlank="1" count="9">
        <m/>
        <s v="Ahmedabad"/>
        <s v="Bengaluru"/>
        <s v="Jaipur"/>
        <s v="Delhi"/>
        <s v="Mumbai"/>
        <s v="Hyderabad"/>
        <s v="Chennai"/>
        <s v="Kolkata"/>
      </sharedItems>
    </cacheField>
    <cacheField name="State" numFmtId="0">
      <sharedItems/>
    </cacheField>
    <cacheField name="Salary" numFmtId="0">
      <sharedItems containsSemiMixedTypes="0" containsString="0" containsNumber="1" containsInteger="1" minValue="38000" maxValue="90000"/>
    </cacheField>
    <cacheField name="Bonus" numFmtId="0">
      <sharedItems containsSemiMixedTypes="0" containsString="0" containsNumber="1" containsInteger="1" minValue="3000" maxValue="18000"/>
    </cacheField>
    <cacheField name="Experience (Years)" numFmtId="0">
      <sharedItems containsSemiMixedTypes="0" containsString="0" containsNumber="1" containsInteger="1" minValue="2" maxValue="11"/>
    </cacheField>
    <cacheField name="Performance Rating" numFmtId="0">
      <sharedItems containsSemiMixedTypes="0" containsString="0" containsNumber="1" containsInteger="1" minValue="3" maxValue="5"/>
    </cacheField>
    <cacheField name="Attendance %" numFmtId="0">
      <sharedItems containsSemiMixedTypes="0" containsString="0" containsNumber="1" containsInteger="1" minValue="90" maxValue="99"/>
    </cacheField>
    <cacheField name="Status" numFmtId="0">
      <sharedItems/>
    </cacheField>
    <cacheField name="compension" numFmtId="0">
      <sharedItems containsSemiMixedTypes="0" containsString="0" containsNumber="1" containsInteger="1" minValue="41000" maxValue="108000"/>
    </cacheField>
    <cacheField name="avg " numFmtId="0">
      <sharedItems containsSemiMixedTypes="0" containsString="0" containsNumber="1" containsInteger="1" minValue="38000" maxValue="90000"/>
    </cacheField>
    <cacheField name="annual salary" numFmtId="0">
      <sharedItems containsSemiMixedTypes="0" containsString="0" containsNumber="1" containsInteger="1" minValue="492000" maxValue="1296000"/>
    </cacheField>
    <cacheField name="YEAR" numFmtId="0">
      <sharedItems containsSemiMixedTypes="0" containsString="0" containsNumber="1" containsInteger="1" minValue="2015" maxValue="2023"/>
    </cacheField>
    <cacheField name="MONTH" numFmtId="0">
      <sharedItems containsSemiMixedTypes="0" containsString="0" containsNumber="1" containsInteger="1" minValue="1" maxValue="11"/>
    </cacheField>
    <cacheField name="DAY" numFmtId="0">
      <sharedItems containsSemiMixedTypes="0" containsString="0" containsNumber="1" containsInteger="1" minValue="1" maxValue="30"/>
    </cacheField>
    <cacheField name="Column1" numFmtId="0">
      <sharedItems/>
    </cacheField>
    <cacheField name="Column2" numFmtId="0">
      <sharedItems/>
    </cacheField>
    <cacheField name="Column3" numFmtId="0">
      <sharedItems/>
    </cacheField>
    <cacheField name="Column4" numFmtId="0">
      <sharedItems containsSemiMixedTypes="0" containsString="0" containsNumber="1" containsInteger="1" minValue="8" maxValue="11"/>
    </cacheField>
    <cacheField name="Column5" numFmtId="0">
      <sharedItems/>
    </cacheField>
    <cacheField name="Column6" numFmtId="0">
      <sharedItems/>
    </cacheField>
    <cacheField name="Column7" numFmtId="0">
      <sharedItems/>
    </cacheField>
    <cacheField name="Column8" numFmtId="0">
      <sharedItems/>
    </cacheField>
    <cacheField name="Column9" numFmtId="0">
      <sharedItems/>
    </cacheField>
    <cacheField name="Column10" numFmtId="0">
      <sharedItems containsSemiMixedTypes="0" containsString="0" containsNumber="1" containsInteger="1" minValue="41800" maxValue="99000"/>
    </cacheField>
    <cacheField name="Column11" numFmtId="0">
      <sharedItems containsSemiMixedTypes="0" containsString="0" containsNumber="1" containsInteger="1" minValue="39900" maxValue="94500"/>
    </cacheField>
    <cacheField name="sal bo" numFmtId="0">
      <sharedItems containsSemiMixedTypes="0" containsString="0" containsNumber="1" containsInteger="1" minValue="3800" maxValue="9000"/>
    </cacheField>
    <cacheField name="Column12" numFmtId="0">
      <sharedItems containsSemiMixedTypes="0" containsString="0" containsNumber="1" containsInteger="1" minValue="0" maxValue="0"/>
    </cacheField>
    <cacheField name="Column13" numFmtId="0">
      <sharedItems containsSemiMixedTypes="0" containsString="0" containsNumber="1" minValue="0.5" maxValue="0.5"/>
    </cacheField>
    <cacheField name="rank" numFmtId="0">
      <sharedItems containsSemiMixedTypes="0" containsString="0" containsNumber="1" containsInteger="1" minValue="1" maxValue="10"/>
    </cacheField>
    <cacheField name="rank using dept and sal" numFmtId="0">
      <sharedItems containsSemiMixedTypes="0" containsString="0" containsNumber="1" containsInteger="1" minValue="1" maxValue="2"/>
    </cacheField>
    <cacheField name="Column14" numFmtId="0">
      <sharedItems containsSemiMixedTypes="0" containsString="0" containsNumber="1" containsInteger="1" minValue="60000" maxValue="60000"/>
    </cacheField>
  </cacheFields>
  <extLst>
    <ext xmlns:x14="http://schemas.microsoft.com/office/spreadsheetml/2009/9/main" uri="{725AE2AE-9491-48be-B2B4-4EB974FC3084}">
      <x14:pivotCacheDefinition pivotCacheId="18763894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69.739024884257" createdVersion="8" refreshedVersion="8" minRefreshableVersion="3" recordCount="11" xr:uid="{B81D30E8-C1EE-4882-A58E-914A2DF6F493}">
  <cacheSource type="worksheet">
    <worksheetSource ref="A1:AK12" sheet="Sheet1" r:id="rId2"/>
  </cacheSource>
  <cacheFields count="37">
    <cacheField name="Employee ID" numFmtId="0">
      <sharedItems containsBlank="1"/>
    </cacheField>
    <cacheField name="Employee Name" numFmtId="0">
      <sharedItems containsBlank="1"/>
    </cacheField>
    <cacheField name="Gender" numFmtId="0">
      <sharedItems containsBlank="1"/>
    </cacheField>
    <cacheField name="Department" numFmtId="0">
      <sharedItems containsBlank="1" count="6">
        <s v="HR"/>
        <s v="Marketing"/>
        <s v="IT"/>
        <s v="Finance"/>
        <s v="Sales"/>
        <m/>
      </sharedItems>
    </cacheField>
    <cacheField name="Designation" numFmtId="0">
      <sharedItems containsBlank="1"/>
    </cacheField>
    <cacheField name="Join Date" numFmtId="0">
      <sharedItems containsBlank="1"/>
    </cacheField>
    <cacheField name="City" numFmtId="0">
      <sharedItems containsBlank="1"/>
    </cacheField>
    <cacheField name="State" numFmtId="0">
      <sharedItems containsBlank="1"/>
    </cacheField>
    <cacheField name="Salary" numFmtId="0">
      <sharedItems containsString="0" containsBlank="1" containsNumber="1" containsInteger="1" minValue="38000" maxValue="90000"/>
    </cacheField>
    <cacheField name="Bonus" numFmtId="0">
      <sharedItems containsString="0" containsBlank="1" containsNumber="1" containsInteger="1" minValue="3000" maxValue="18000"/>
    </cacheField>
    <cacheField name="Experience (Years)" numFmtId="0">
      <sharedItems containsString="0" containsBlank="1" containsNumber="1" containsInteger="1" minValue="2" maxValue="11"/>
    </cacheField>
    <cacheField name="Performance Rating" numFmtId="0">
      <sharedItems containsString="0" containsBlank="1" containsNumber="1" containsInteger="1" minValue="3" maxValue="5"/>
    </cacheField>
    <cacheField name="Attendance %" numFmtId="0">
      <sharedItems containsString="0" containsBlank="1" containsNumber="1" containsInteger="1" minValue="90" maxValue="99"/>
    </cacheField>
    <cacheField name="Status" numFmtId="0">
      <sharedItems containsBlank="1"/>
    </cacheField>
    <cacheField name="compension" numFmtId="0">
      <sharedItems containsString="0" containsBlank="1" containsNumber="1" containsInteger="1" minValue="41000" maxValue="108000"/>
    </cacheField>
    <cacheField name="avg " numFmtId="0">
      <sharedItems containsString="0" containsBlank="1" containsNumber="1" containsInteger="1" minValue="38000" maxValue="90000"/>
    </cacheField>
    <cacheField name="annual salary" numFmtId="0">
      <sharedItems containsString="0" containsBlank="1" containsNumber="1" containsInteger="1" minValue="492000" maxValue="1296000"/>
    </cacheField>
    <cacheField name="YEAR" numFmtId="0">
      <sharedItems containsString="0" containsBlank="1" containsNumber="1" containsInteger="1" minValue="2015" maxValue="2023"/>
    </cacheField>
    <cacheField name="MONTH" numFmtId="0">
      <sharedItems containsString="0" containsBlank="1" containsNumber="1" containsInteger="1" minValue="1" maxValue="11"/>
    </cacheField>
    <cacheField name="DAY" numFmtId="0">
      <sharedItems containsString="0" containsBlank="1" containsNumber="1" containsInteger="1" minValue="1" maxValue="30"/>
    </cacheField>
    <cacheField name="Column1" numFmtId="0">
      <sharedItems containsBlank="1"/>
    </cacheField>
    <cacheField name="Column2" numFmtId="0">
      <sharedItems containsBlank="1"/>
    </cacheField>
    <cacheField name="Column3" numFmtId="0">
      <sharedItems containsBlank="1"/>
    </cacheField>
    <cacheField name="Column4" numFmtId="0">
      <sharedItems containsString="0" containsBlank="1" containsNumber="1" containsInteger="1" minValue="8" maxValue="11"/>
    </cacheField>
    <cacheField name="Column5" numFmtId="0">
      <sharedItems containsBlank="1"/>
    </cacheField>
    <cacheField name="Column6" numFmtId="0">
      <sharedItems containsBlank="1"/>
    </cacheField>
    <cacheField name="Column7" numFmtId="0">
      <sharedItems containsBlank="1"/>
    </cacheField>
    <cacheField name="Column8" numFmtId="0">
      <sharedItems containsBlank="1"/>
    </cacheField>
    <cacheField name="Column9" numFmtId="0">
      <sharedItems containsBlank="1"/>
    </cacheField>
    <cacheField name="Column10" numFmtId="0">
      <sharedItems containsString="0" containsBlank="1" containsNumber="1" containsInteger="1" minValue="41800" maxValue="99000"/>
    </cacheField>
    <cacheField name="Column11" numFmtId="0">
      <sharedItems containsString="0" containsBlank="1" containsNumber="1" containsInteger="1" minValue="39900" maxValue="94500"/>
    </cacheField>
    <cacheField name="sal bo" numFmtId="0">
      <sharedItems containsString="0" containsBlank="1" containsNumber="1" containsInteger="1" minValue="3800" maxValue="9000"/>
    </cacheField>
    <cacheField name="Column12" numFmtId="0">
      <sharedItems containsString="0" containsBlank="1" containsNumber="1" containsInteger="1" minValue="0" maxValue="0"/>
    </cacheField>
    <cacheField name="Column13" numFmtId="0">
      <sharedItems containsString="0" containsBlank="1" containsNumber="1" minValue="0.5" maxValue="0.5"/>
    </cacheField>
    <cacheField name="rank" numFmtId="0">
      <sharedItems containsString="0" containsBlank="1" containsNumber="1" containsInteger="1" minValue="1" maxValue="10"/>
    </cacheField>
    <cacheField name="rank using dept and sal" numFmtId="0">
      <sharedItems containsString="0" containsBlank="1" containsNumber="1" containsInteger="1" minValue="1" maxValue="2"/>
    </cacheField>
    <cacheField name="Column14" numFmtId="0">
      <sharedItems containsString="0" containsBlank="1" containsNumber="1" containsInteger="1" minValue="60000" maxValue="6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s v="Pooja Nair"/>
    <x v="0"/>
    <x v="0"/>
    <s v="Executive"/>
    <s v="30-Sep-2023"/>
    <x v="0"/>
    <s v="Kerala"/>
    <n v="38000"/>
    <n v="3000"/>
    <n v="2"/>
    <n v="4"/>
    <n v="93"/>
    <s v="Active"/>
    <n v="41000"/>
    <n v="38000"/>
    <n v="492000"/>
    <n v="2023"/>
    <n v="9"/>
    <n v="30"/>
    <s v="POOJA NAIR"/>
    <s v="pooja nair"/>
    <s v="Pooja Nair"/>
    <n v="10"/>
    <s v="pooja"/>
    <s v="nair"/>
    <s v="Pooja NairHR"/>
    <e v="#N/A"/>
    <s v="junior"/>
    <n v="41800"/>
    <n v="39900"/>
    <n v="3800"/>
    <n v="0"/>
    <n v="0.5"/>
    <n v="1"/>
    <n v="2"/>
    <n v="60000"/>
  </r>
  <r>
    <x v="1"/>
    <s v="Karan Mehta"/>
    <x v="1"/>
    <x v="1"/>
    <s v="Executive"/>
    <s v="12-Jun-2022"/>
    <x v="1"/>
    <s v="Gujarat"/>
    <n v="40000"/>
    <n v="4000"/>
    <n v="3"/>
    <n v="4"/>
    <n v="94"/>
    <s v="Active"/>
    <n v="44000"/>
    <n v="40000"/>
    <n v="528000"/>
    <n v="2022"/>
    <n v="6"/>
    <n v="12"/>
    <s v="KARAN MEHTA"/>
    <s v="karan mehta"/>
    <s v="Karan Mehta"/>
    <n v="11"/>
    <s v="karan"/>
    <s v="mehta"/>
    <s v="Karan MehtaMarketing"/>
    <e v="#N/A"/>
    <e v="#N/A"/>
    <n v="44000"/>
    <n v="42000"/>
    <n v="4000"/>
    <n v="0"/>
    <n v="0.5"/>
    <n v="2"/>
    <n v="2"/>
    <n v="60000"/>
  </r>
  <r>
    <x v="2"/>
    <s v="Rahul Singh"/>
    <x v="1"/>
    <x v="2"/>
    <s v="Developer"/>
    <s v="10-Jul-2021"/>
    <x v="2"/>
    <s v="Karnataka"/>
    <n v="60000"/>
    <n v="7000"/>
    <n v="4"/>
    <n v="4"/>
    <n v="95"/>
    <s v="Active"/>
    <n v="67000"/>
    <n v="60000"/>
    <n v="804000"/>
    <n v="2021"/>
    <n v="7"/>
    <n v="10"/>
    <s v="RAHUL SINGH"/>
    <s v="rahul singh"/>
    <s v="Rahul Singh"/>
    <n v="11"/>
    <s v="rahul"/>
    <s v="singh"/>
    <s v="Rahul SinghIT"/>
    <s v="medium"/>
    <e v="#N/A"/>
    <n v="66000"/>
    <n v="63000"/>
    <n v="6000"/>
    <n v="0"/>
    <n v="0.5"/>
    <n v="6"/>
    <n v="2"/>
    <n v="60000"/>
  </r>
  <r>
    <x v="3"/>
    <s v="Vivek Kumar"/>
    <x v="1"/>
    <x v="3"/>
    <s v="Analyst"/>
    <s v="18-Nov-2020"/>
    <x v="3"/>
    <s v="Rajasthan"/>
    <n v="52000"/>
    <n v="5500"/>
    <n v="5"/>
    <n v="3"/>
    <n v="90"/>
    <s v="Active"/>
    <n v="57500"/>
    <n v="52000"/>
    <n v="690000"/>
    <n v="2020"/>
    <n v="11"/>
    <n v="18"/>
    <s v="VIVEK KUMAR"/>
    <s v="vivek kumar"/>
    <s v="Vivek Kumar"/>
    <n v="11"/>
    <s v="vivek"/>
    <s v="kumar"/>
    <s v="Vivek KumarFinance"/>
    <s v="medium"/>
    <s v="mid-level"/>
    <n v="57200"/>
    <n v="54600"/>
    <n v="5200"/>
    <n v="0"/>
    <n v="0.5"/>
    <n v="4"/>
    <n v="2"/>
    <n v="60000"/>
  </r>
  <r>
    <x v="4"/>
    <s v="Amit Sharma"/>
    <x v="1"/>
    <x v="4"/>
    <s v="Executive"/>
    <s v="15-Jan-2020"/>
    <x v="0"/>
    <s v="Maharashtra"/>
    <n v="45000"/>
    <n v="5000"/>
    <n v="6"/>
    <n v="4"/>
    <n v="96"/>
    <s v="Active"/>
    <n v="50000"/>
    <n v="45000"/>
    <n v="600000"/>
    <n v="2020"/>
    <n v="1"/>
    <n v="15"/>
    <s v="AMIT SHARMA"/>
    <s v="amit sharma"/>
    <s v="Amit Sharma"/>
    <n v="11"/>
    <s v="amit"/>
    <s v="sharma"/>
    <s v="Amit SharmaSales"/>
    <e v="#N/A"/>
    <s v="mid-level"/>
    <n v="49500"/>
    <n v="47250"/>
    <n v="4500"/>
    <n v="0"/>
    <n v="0.5"/>
    <n v="3"/>
    <n v="2"/>
    <n v="60000"/>
  </r>
  <r>
    <x v="5"/>
    <s v="Sneha Gupta"/>
    <x v="0"/>
    <x v="3"/>
    <s v="Accountant"/>
    <s v="01-Feb-2019"/>
    <x v="4"/>
    <s v="Delhi"/>
    <n v="55000"/>
    <n v="6000"/>
    <n v="7"/>
    <n v="3"/>
    <n v="91"/>
    <s v="Active"/>
    <n v="61000"/>
    <n v="55000"/>
    <n v="732000"/>
    <n v="2019"/>
    <n v="2"/>
    <n v="1"/>
    <s v="SNEHA GUPTA"/>
    <s v="sneha gupta"/>
    <s v="Sneha Gupta"/>
    <n v="11"/>
    <s v="sneha"/>
    <s v="gupta"/>
    <s v="Sneha GuptaFinance"/>
    <s v="medium"/>
    <s v="mid-level"/>
    <n v="60500"/>
    <n v="57750"/>
    <n v="5500"/>
    <n v="0"/>
    <n v="0.5"/>
    <n v="5"/>
    <n v="1"/>
    <n v="60000"/>
  </r>
  <r>
    <x v="6"/>
    <s v="Priya Patel"/>
    <x v="0"/>
    <x v="0"/>
    <s v="Manager"/>
    <s v="20-Mar-2018"/>
    <x v="5"/>
    <s v="Maharashtra"/>
    <n v="70000"/>
    <n v="10000"/>
    <n v="8"/>
    <n v="5"/>
    <n v="98"/>
    <s v="Active"/>
    <n v="80000"/>
    <n v="70000"/>
    <n v="960000"/>
    <n v="2018"/>
    <n v="3"/>
    <n v="20"/>
    <s v="PRIYA PATEL"/>
    <s v="priya patel"/>
    <s v="Priya Patel"/>
    <n v="11"/>
    <s v="priya"/>
    <s v="patel"/>
    <s v="Priya PatelHR"/>
    <s v="medium"/>
    <s v="mid-level"/>
    <n v="77000"/>
    <n v="73500"/>
    <n v="7000"/>
    <n v="0"/>
    <n v="0.5"/>
    <n v="7"/>
    <n v="1"/>
    <n v="60000"/>
  </r>
  <r>
    <x v="7"/>
    <s v="Neha Joshi"/>
    <x v="0"/>
    <x v="2"/>
    <s v="Analyst"/>
    <s v="05-May-2017"/>
    <x v="6"/>
    <s v="Telangana"/>
    <n v="80000"/>
    <n v="12000"/>
    <n v="9"/>
    <n v="5"/>
    <n v="99"/>
    <s v="Active"/>
    <n v="92000"/>
    <n v="80000"/>
    <n v="1104000"/>
    <n v="2017"/>
    <n v="5"/>
    <n v="5"/>
    <s v="NEHA JOSHI"/>
    <s v="neha joshi"/>
    <s v="Neha Joshi"/>
    <n v="10"/>
    <s v="neha"/>
    <s v="joshi"/>
    <s v="Neha JoshiIT"/>
    <s v="high"/>
    <s v="mid-level"/>
    <n v="88000"/>
    <n v="84000"/>
    <n v="8000"/>
    <n v="0"/>
    <n v="0.5"/>
    <n v="8"/>
    <n v="1"/>
    <n v="60000"/>
  </r>
  <r>
    <x v="8"/>
    <s v="Arjun Verma"/>
    <x v="1"/>
    <x v="4"/>
    <s v="Manager"/>
    <s v="22-Aug-2016"/>
    <x v="7"/>
    <s v="Tamil Nadu"/>
    <n v="85000"/>
    <n v="15000"/>
    <n v="10"/>
    <n v="5"/>
    <n v="97"/>
    <s v="Active"/>
    <n v="100000"/>
    <n v="85000"/>
    <n v="1200000"/>
    <n v="2016"/>
    <n v="8"/>
    <n v="22"/>
    <s v="ARJUN VERMA"/>
    <s v="arjun verma"/>
    <s v="Arjun Verma"/>
    <n v="11"/>
    <s v="arjun"/>
    <s v="verma"/>
    <s v="Arjun VermaSales"/>
    <s v="high"/>
    <s v="mid-level"/>
    <n v="93500"/>
    <n v="89250"/>
    <n v="8500"/>
    <n v="0"/>
    <n v="0.5"/>
    <n v="9"/>
    <n v="1"/>
    <n v="60000"/>
  </r>
  <r>
    <x v="9"/>
    <s v="Riya Das"/>
    <x v="0"/>
    <x v="1"/>
    <s v="Manager"/>
    <s v="08-Apr-2015"/>
    <x v="8"/>
    <s v="West Bengal"/>
    <n v="90000"/>
    <n v="18000"/>
    <n v="11"/>
    <n v="5"/>
    <n v="99"/>
    <s v="Active"/>
    <n v="108000"/>
    <n v="90000"/>
    <n v="1296000"/>
    <n v="2015"/>
    <n v="4"/>
    <n v="8"/>
    <s v="RIYA DAS"/>
    <s v="riya das"/>
    <s v="Riya Das"/>
    <n v="8"/>
    <s v="riya"/>
    <s v="das"/>
    <s v="Riya DasMarketing"/>
    <s v="high"/>
    <s v="experienced"/>
    <n v="99000"/>
    <n v="94500"/>
    <n v="9000"/>
    <n v="0"/>
    <n v="0.5"/>
    <n v="10"/>
    <n v="1"/>
    <n v="6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s v="EMP008"/>
    <s v="Pooja Nair"/>
    <s v="Female"/>
    <x v="0"/>
    <s v="Executive"/>
    <s v="30-Sep-2023"/>
    <m/>
    <s v="Kerala"/>
    <n v="38000"/>
    <n v="3000"/>
    <n v="2"/>
    <n v="4"/>
    <n v="93"/>
    <s v="Active"/>
    <n v="41000"/>
    <n v="38000"/>
    <n v="492000"/>
    <n v="2023"/>
    <n v="9"/>
    <n v="30"/>
    <s v="POOJA NAIR"/>
    <s v="pooja nair"/>
    <s v="Pooja Nair"/>
    <n v="10"/>
    <s v="pooja"/>
    <s v="nair"/>
    <s v="Pooja NairHR"/>
    <e v="#N/A"/>
    <s v="junior"/>
    <n v="41800"/>
    <n v="39900"/>
    <n v="3800"/>
    <n v="0"/>
    <n v="0.5"/>
    <n v="1"/>
    <n v="2"/>
    <n v="60000"/>
  </r>
  <r>
    <s v="EMP005"/>
    <s v="Karan Mehta"/>
    <s v="Male"/>
    <x v="1"/>
    <s v="Executive"/>
    <s v="12-Jun-2022"/>
    <s v="Ahmedabad"/>
    <s v="Gujarat"/>
    <n v="40000"/>
    <n v="4000"/>
    <n v="3"/>
    <n v="4"/>
    <n v="94"/>
    <s v="Active"/>
    <n v="44000"/>
    <n v="40000"/>
    <n v="528000"/>
    <n v="2022"/>
    <n v="6"/>
    <n v="12"/>
    <s v="KARAN MEHTA"/>
    <s v="karan mehta"/>
    <s v="Karan Mehta"/>
    <n v="11"/>
    <s v="karan"/>
    <s v="mehta"/>
    <s v="Karan MehtaMarketing"/>
    <e v="#N/A"/>
    <e v="#N/A"/>
    <n v="44000"/>
    <n v="42000"/>
    <n v="4000"/>
    <n v="0"/>
    <n v="0.5"/>
    <n v="2"/>
    <n v="2"/>
    <n v="60000"/>
  </r>
  <r>
    <s v="EMP003"/>
    <s v="Rahul Singh"/>
    <s v="Male"/>
    <x v="2"/>
    <s v="Developer"/>
    <s v="10-Jul-2021"/>
    <s v="Bengaluru"/>
    <s v="Karnataka"/>
    <n v="60000"/>
    <n v="7000"/>
    <n v="4"/>
    <n v="4"/>
    <n v="95"/>
    <s v="Active"/>
    <n v="67000"/>
    <n v="60000"/>
    <n v="804000"/>
    <n v="2021"/>
    <n v="7"/>
    <n v="10"/>
    <s v="RAHUL SINGH"/>
    <s v="rahul singh"/>
    <s v="Rahul Singh"/>
    <n v="11"/>
    <s v="rahul"/>
    <s v="singh"/>
    <s v="Rahul SinghIT"/>
    <s v="medium"/>
    <e v="#N/A"/>
    <n v="66000"/>
    <n v="63000"/>
    <n v="6000"/>
    <n v="0"/>
    <n v="0.5"/>
    <n v="6"/>
    <n v="2"/>
    <n v="60000"/>
  </r>
  <r>
    <s v="EMP009"/>
    <s v="Vivek Kumar"/>
    <s v="Male"/>
    <x v="3"/>
    <s v="Analyst"/>
    <s v="18-Nov-2020"/>
    <s v="Jaipur"/>
    <s v="Rajasthan"/>
    <n v="52000"/>
    <n v="5500"/>
    <n v="5"/>
    <n v="3"/>
    <n v="90"/>
    <s v="Active"/>
    <n v="57500"/>
    <n v="52000"/>
    <n v="690000"/>
    <n v="2020"/>
    <n v="11"/>
    <n v="18"/>
    <s v="VIVEK KUMAR"/>
    <s v="vivek kumar"/>
    <s v="Vivek Kumar"/>
    <n v="11"/>
    <s v="vivek"/>
    <s v="kumar"/>
    <s v="Vivek KumarFinance"/>
    <s v="medium"/>
    <s v="mid-level"/>
    <n v="57200"/>
    <n v="54600"/>
    <n v="5200"/>
    <n v="0"/>
    <n v="0.5"/>
    <n v="4"/>
    <n v="2"/>
    <n v="60000"/>
  </r>
  <r>
    <s v="EMP001"/>
    <s v="Amit Sharma"/>
    <s v="Male"/>
    <x v="4"/>
    <s v="Executive"/>
    <s v="15-Jan-2020"/>
    <m/>
    <s v="Maharashtra"/>
    <n v="45000"/>
    <n v="5000"/>
    <n v="6"/>
    <n v="4"/>
    <n v="96"/>
    <s v="Active"/>
    <n v="50000"/>
    <n v="45000"/>
    <n v="600000"/>
    <n v="2020"/>
    <n v="1"/>
    <n v="15"/>
    <s v="AMIT SHARMA"/>
    <s v="amit sharma"/>
    <s v="Amit Sharma"/>
    <n v="11"/>
    <s v="amit"/>
    <s v="sharma"/>
    <s v="Amit SharmaSales"/>
    <e v="#N/A"/>
    <s v="mid-level"/>
    <n v="49500"/>
    <n v="47250"/>
    <n v="4500"/>
    <n v="0"/>
    <n v="0.5"/>
    <n v="3"/>
    <n v="2"/>
    <n v="60000"/>
  </r>
  <r>
    <s v="EMP004"/>
    <s v="Sneha Gupta"/>
    <s v="Female"/>
    <x v="3"/>
    <s v="Accountant"/>
    <s v="01-Feb-2019"/>
    <s v="Delhi"/>
    <s v="Delhi"/>
    <n v="55000"/>
    <n v="6000"/>
    <n v="7"/>
    <n v="3"/>
    <n v="91"/>
    <s v="Active"/>
    <n v="61000"/>
    <n v="55000"/>
    <n v="732000"/>
    <n v="2019"/>
    <n v="2"/>
    <n v="1"/>
    <s v="SNEHA GUPTA"/>
    <s v="sneha gupta"/>
    <s v="Sneha Gupta"/>
    <n v="11"/>
    <s v="sneha"/>
    <s v="gupta"/>
    <s v="Sneha GuptaFinance"/>
    <s v="medium"/>
    <s v="mid-level"/>
    <n v="60500"/>
    <n v="57750"/>
    <n v="5500"/>
    <n v="0"/>
    <n v="0.5"/>
    <n v="5"/>
    <n v="1"/>
    <n v="60000"/>
  </r>
  <r>
    <s v="EMP002"/>
    <s v="Priya Patel"/>
    <s v="Female"/>
    <x v="0"/>
    <s v="Manager"/>
    <s v="20-Mar-2018"/>
    <s v="Mumbai"/>
    <s v="Maharashtra"/>
    <n v="70000"/>
    <n v="10000"/>
    <n v="8"/>
    <n v="5"/>
    <n v="98"/>
    <s v="Active"/>
    <n v="80000"/>
    <n v="70000"/>
    <n v="960000"/>
    <n v="2018"/>
    <n v="3"/>
    <n v="20"/>
    <s v="PRIYA PATEL"/>
    <s v="priya patel"/>
    <s v="Priya Patel"/>
    <n v="11"/>
    <s v="priya"/>
    <s v="patel"/>
    <s v="Priya PatelHR"/>
    <s v="medium"/>
    <s v="mid-level"/>
    <n v="77000"/>
    <n v="73500"/>
    <n v="7000"/>
    <n v="0"/>
    <n v="0.5"/>
    <n v="7"/>
    <n v="1"/>
    <n v="60000"/>
  </r>
  <r>
    <s v="EMP006"/>
    <s v="Neha Joshi"/>
    <s v="Female"/>
    <x v="2"/>
    <s v="Analyst"/>
    <s v="05-May-2017"/>
    <s v="Hyderabad"/>
    <s v="Telangana"/>
    <n v="80000"/>
    <n v="12000"/>
    <n v="9"/>
    <n v="5"/>
    <n v="99"/>
    <s v="Active"/>
    <n v="92000"/>
    <n v="80000"/>
    <n v="1104000"/>
    <n v="2017"/>
    <n v="5"/>
    <n v="5"/>
    <s v="NEHA JOSHI"/>
    <s v="neha joshi"/>
    <s v="Neha Joshi"/>
    <n v="10"/>
    <s v="neha"/>
    <s v="joshi"/>
    <s v="Neha JoshiIT"/>
    <s v="high"/>
    <s v="mid-level"/>
    <n v="88000"/>
    <n v="84000"/>
    <n v="8000"/>
    <n v="0"/>
    <n v="0.5"/>
    <n v="8"/>
    <n v="1"/>
    <n v="60000"/>
  </r>
  <r>
    <s v="EMP007"/>
    <s v="Arjun Verma"/>
    <s v="Male"/>
    <x v="4"/>
    <s v="Manager"/>
    <s v="22-Aug-2016"/>
    <s v="Chennai"/>
    <s v="Tamil Nadu"/>
    <n v="85000"/>
    <n v="15000"/>
    <n v="10"/>
    <n v="5"/>
    <n v="97"/>
    <s v="Active"/>
    <n v="100000"/>
    <n v="85000"/>
    <n v="1200000"/>
    <n v="2016"/>
    <n v="8"/>
    <n v="22"/>
    <s v="ARJUN VERMA"/>
    <s v="arjun verma"/>
    <s v="Arjun Verma"/>
    <n v="11"/>
    <s v="arjun"/>
    <s v="verma"/>
    <s v="Arjun VermaSales"/>
    <s v="high"/>
    <s v="mid-level"/>
    <n v="93500"/>
    <n v="89250"/>
    <n v="8500"/>
    <n v="0"/>
    <n v="0.5"/>
    <n v="9"/>
    <n v="1"/>
    <n v="60000"/>
  </r>
  <r>
    <s v="EMP010"/>
    <s v="Riya Das"/>
    <s v="Female"/>
    <x v="1"/>
    <s v="Manager"/>
    <s v="08-Apr-2015"/>
    <s v="Kolkata"/>
    <s v="West Bengal"/>
    <n v="90000"/>
    <n v="18000"/>
    <n v="11"/>
    <n v="5"/>
    <n v="99"/>
    <s v="Active"/>
    <n v="108000"/>
    <n v="90000"/>
    <n v="1296000"/>
    <n v="2015"/>
    <n v="4"/>
    <n v="8"/>
    <s v="RIYA DAS"/>
    <s v="riya das"/>
    <s v="Riya Das"/>
    <n v="8"/>
    <s v="riya"/>
    <s v="das"/>
    <s v="Riya DasMarketing"/>
    <s v="high"/>
    <s v="experienced"/>
    <n v="99000"/>
    <n v="94500"/>
    <n v="9000"/>
    <n v="0"/>
    <n v="0.5"/>
    <n v="10"/>
    <n v="1"/>
    <n v="60000"/>
  </r>
  <r>
    <m/>
    <m/>
    <m/>
    <x v="5"/>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1E72E9-7939-4400-B811-7D8085C95EB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85:V95" firstHeaderRow="1" firstDataRow="1" firstDataCol="1"/>
  <pivotFields count="37">
    <pivotField dataField="1" showAll="0"/>
    <pivotField showAll="0"/>
    <pivotField showAll="0"/>
    <pivotField showAll="0">
      <items count="6">
        <item x="3"/>
        <item x="0"/>
        <item x="2"/>
        <item x="1"/>
        <item x="4"/>
        <item t="default"/>
      </items>
    </pivotField>
    <pivotField showAll="0"/>
    <pivotField showAll="0"/>
    <pivotField axis="axisRow" showAll="0">
      <items count="10">
        <item x="1"/>
        <item x="2"/>
        <item x="7"/>
        <item x="4"/>
        <item x="6"/>
        <item x="3"/>
        <item x="8"/>
        <item x="5"/>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0">
    <i>
      <x/>
    </i>
    <i>
      <x v="1"/>
    </i>
    <i>
      <x v="2"/>
    </i>
    <i>
      <x v="3"/>
    </i>
    <i>
      <x v="4"/>
    </i>
    <i>
      <x v="5"/>
    </i>
    <i>
      <x v="6"/>
    </i>
    <i>
      <x v="7"/>
    </i>
    <i>
      <x v="8"/>
    </i>
    <i t="grand">
      <x/>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6E961A-29C7-43F0-9783-082BA15C249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76:P82" firstHeaderRow="1" firstDataRow="1" firstDataCol="1"/>
  <pivotFields count="37">
    <pivotField showAll="0"/>
    <pivotField showAll="0"/>
    <pivotField showAll="0">
      <items count="3">
        <item x="0"/>
        <item x="1"/>
        <item t="default"/>
      </items>
    </pivotField>
    <pivotField axis="axisRow" showAll="0">
      <items count="6">
        <item x="3"/>
        <item x="0"/>
        <item x="2"/>
        <item x="1"/>
        <item x="4"/>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Sum of Salar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5C9B78-5842-4E1E-BC36-F5240E17EE2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R76:S82" firstHeaderRow="1" firstDataRow="1" firstDataCol="1"/>
  <pivotFields count="37">
    <pivotField showAll="0"/>
    <pivotField showAll="0"/>
    <pivotField showAll="0">
      <items count="3">
        <item x="0"/>
        <item x="1"/>
        <item t="default"/>
      </items>
    </pivotField>
    <pivotField axis="axisRow" showAll="0">
      <items count="6">
        <item x="3"/>
        <item x="0"/>
        <item x="2"/>
        <item x="1"/>
        <item x="4"/>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Average of Salary" fld="8" subtotal="average" baseField="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A4F242-E704-4269-A1F5-25DB8D79C61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76:V82" firstHeaderRow="1" firstDataRow="1" firstDataCol="1"/>
  <pivotFields count="37">
    <pivotField dataField="1" showAll="0"/>
    <pivotField showAll="0"/>
    <pivotField showAll="0">
      <items count="3">
        <item x="0"/>
        <item x="1"/>
        <item t="default"/>
      </items>
    </pivotField>
    <pivotField axis="axisRow" showAll="0">
      <items count="6">
        <item x="3"/>
        <item x="0"/>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Count of Employee ID"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06F89C-7B15-4C7D-9ADE-8FFB6A35AC7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84:P91" firstHeaderRow="1" firstDataRow="1" firstDataCol="1"/>
  <pivotFields count="37">
    <pivotField showAll="0"/>
    <pivotField showAll="0"/>
    <pivotField showAll="0"/>
    <pivotField axis="axisRow" showAll="0">
      <items count="7">
        <item x="3"/>
        <item x="0"/>
        <item x="2"/>
        <item x="1"/>
        <item x="4"/>
        <item x="5"/>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7">
    <i>
      <x/>
    </i>
    <i>
      <x v="1"/>
    </i>
    <i>
      <x v="2"/>
    </i>
    <i>
      <x v="3"/>
    </i>
    <i>
      <x v="4"/>
    </i>
    <i>
      <x v="5"/>
    </i>
    <i t="grand">
      <x/>
    </i>
  </rowItems>
  <colItems count="1">
    <i/>
  </colItems>
  <dataFields count="1">
    <dataField name="Sum of Salary" fld="8"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D25A60-4422-4138-8C31-2A36AF7723A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85:S88" firstHeaderRow="1" firstDataRow="1" firstDataCol="1"/>
  <pivotFields count="37">
    <pivotField dataField="1" showAll="0">
      <items count="11">
        <item x="4"/>
        <item x="6"/>
        <item x="2"/>
        <item x="5"/>
        <item x="1"/>
        <item x="7"/>
        <item x="8"/>
        <item x="0"/>
        <item x="3"/>
        <item x="9"/>
        <item t="default"/>
      </items>
    </pivotField>
    <pivotField showAll="0"/>
    <pivotField axis="axisRow" showAll="0">
      <items count="3">
        <item x="0"/>
        <item x="1"/>
        <item t="default"/>
      </items>
    </pivotField>
    <pivotField showAll="0">
      <items count="6">
        <item x="3"/>
        <item x="0"/>
        <item x="2"/>
        <item x="1"/>
        <item x="4"/>
        <item t="default"/>
      </items>
    </pivotField>
    <pivotField showAll="0"/>
    <pivotField showAll="0"/>
    <pivotField showAll="0">
      <items count="10">
        <item x="1"/>
        <item x="2"/>
        <item x="7"/>
        <item x="4"/>
        <item x="6"/>
        <item x="3"/>
        <item x="8"/>
        <item x="5"/>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Count of Employe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701253E-F163-4390-9376-DEBD6B003A56}" sourceName="Gender">
  <pivotTables>
    <pivotTable tabId="2" name="PivotTable1"/>
    <pivotTable tabId="2" name="PivotTable5"/>
    <pivotTable tabId="2" name="PivotTable4"/>
    <pivotTable tabId="2" name="PivotTable3"/>
  </pivotTables>
  <data>
    <tabular pivotCacheId="18763894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B9C4273-E53A-400C-BC35-13A4F7C34F63}" sourceName="Department">
  <pivotTables>
    <pivotTable tabId="2" name="PivotTable4"/>
    <pivotTable tabId="2" name="PivotTable5"/>
    <pivotTable tabId="2" name="PivotTable3"/>
    <pivotTable tabId="2" name="PivotTable1"/>
    <pivotTable tabId="2" name="PivotTable6"/>
  </pivotTables>
  <data>
    <tabular pivotCacheId="187638942">
      <items count="5">
        <i x="3" s="1"/>
        <i x="0"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A106877-2FD0-4F5F-B555-BFF04DD4EC27}" sourceName="City">
  <pivotTables>
    <pivotTable tabId="2" name="PivotTable1"/>
  </pivotTables>
  <data>
    <tabular pivotCacheId="187638942">
      <items count="9">
        <i x="1" s="1"/>
        <i x="2" s="1"/>
        <i x="7" s="1"/>
        <i x="4" s="1"/>
        <i x="6" s="1"/>
        <i x="3" s="1"/>
        <i x="8" s="1"/>
        <i x="5"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388343FA-F29C-497D-8FEC-DBEDC0DA0739}" cache="Slicer_Gender" caption="Gender" rowHeight="222250"/>
  <slicer name="Department 1" xr10:uid="{6C36120D-0095-4DF0-95EF-A2DEBE13A85A}" cache="Slicer_Department" caption="Department" rowHeight="222250"/>
  <slicer name="City" xr10:uid="{DF4CFFB7-FF88-4D01-A193-753D7496F79E}" cache="Slicer_City" caption="City" rowHeight="2222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4FD87-D1A5-42C6-8132-39BE6DC38A84}">
  <dimension ref="A1:N11"/>
  <sheetViews>
    <sheetView tabSelected="1" workbookViewId="0">
      <selection activeCell="R9" sqref="R9"/>
    </sheetView>
  </sheetViews>
  <sheetFormatPr defaultRowHeight="13.8" x14ac:dyDescent="0.25"/>
  <sheetData>
    <row r="1" spans="1:14" ht="15" thickBot="1" x14ac:dyDescent="0.35">
      <c r="A1" s="1" t="s">
        <v>0</v>
      </c>
      <c r="B1" s="2" t="s">
        <v>1</v>
      </c>
      <c r="C1" s="2" t="s">
        <v>2</v>
      </c>
      <c r="D1" s="2" t="s">
        <v>3</v>
      </c>
      <c r="E1" s="2" t="s">
        <v>4</v>
      </c>
      <c r="F1" s="2" t="s">
        <v>5</v>
      </c>
      <c r="G1" s="2" t="s">
        <v>6</v>
      </c>
      <c r="H1" s="2" t="s">
        <v>7</v>
      </c>
      <c r="I1" s="2" t="s">
        <v>8</v>
      </c>
      <c r="J1" s="2" t="s">
        <v>9</v>
      </c>
      <c r="K1" s="2" t="s">
        <v>10</v>
      </c>
      <c r="L1" s="2" t="s">
        <v>11</v>
      </c>
      <c r="M1" s="2" t="s">
        <v>12</v>
      </c>
      <c r="N1" s="3" t="s">
        <v>13</v>
      </c>
    </row>
    <row r="2" spans="1:14" ht="14.4" thickTop="1" x14ac:dyDescent="0.25">
      <c r="A2" s="4" t="s">
        <v>14</v>
      </c>
      <c r="B2" s="5" t="s">
        <v>15</v>
      </c>
      <c r="C2" s="5" t="s">
        <v>16</v>
      </c>
      <c r="D2" s="5" t="s">
        <v>17</v>
      </c>
      <c r="E2" s="5" t="s">
        <v>18</v>
      </c>
      <c r="F2" s="5" t="s">
        <v>19</v>
      </c>
      <c r="G2" s="5"/>
      <c r="H2" s="5" t="s">
        <v>20</v>
      </c>
      <c r="I2" s="5">
        <v>38000</v>
      </c>
      <c r="J2" s="5">
        <v>3000</v>
      </c>
      <c r="K2" s="5">
        <v>2</v>
      </c>
      <c r="L2" s="5">
        <v>4</v>
      </c>
      <c r="M2" s="5">
        <v>93</v>
      </c>
      <c r="N2" s="6" t="s">
        <v>21</v>
      </c>
    </row>
    <row r="3" spans="1:14" x14ac:dyDescent="0.25">
      <c r="A3" s="7" t="s">
        <v>22</v>
      </c>
      <c r="B3" s="8" t="s">
        <v>23</v>
      </c>
      <c r="C3" s="8" t="s">
        <v>24</v>
      </c>
      <c r="D3" s="8" t="s">
        <v>25</v>
      </c>
      <c r="E3" s="8" t="s">
        <v>18</v>
      </c>
      <c r="F3" s="8" t="s">
        <v>26</v>
      </c>
      <c r="G3" s="8" t="s">
        <v>27</v>
      </c>
      <c r="H3" s="8" t="s">
        <v>28</v>
      </c>
      <c r="I3" s="8">
        <v>40000</v>
      </c>
      <c r="J3" s="8">
        <v>4000</v>
      </c>
      <c r="K3" s="8">
        <v>3</v>
      </c>
      <c r="L3" s="8">
        <v>4</v>
      </c>
      <c r="M3" s="8">
        <v>94</v>
      </c>
      <c r="N3" s="9" t="s">
        <v>21</v>
      </c>
    </row>
    <row r="4" spans="1:14" x14ac:dyDescent="0.25">
      <c r="A4" s="7" t="s">
        <v>29</v>
      </c>
      <c r="B4" s="8" t="s">
        <v>30</v>
      </c>
      <c r="C4" s="8" t="s">
        <v>24</v>
      </c>
      <c r="D4" s="8" t="s">
        <v>31</v>
      </c>
      <c r="E4" s="8" t="s">
        <v>32</v>
      </c>
      <c r="F4" s="8" t="s">
        <v>33</v>
      </c>
      <c r="G4" s="8" t="s">
        <v>34</v>
      </c>
      <c r="H4" s="8" t="s">
        <v>35</v>
      </c>
      <c r="I4" s="8">
        <v>60000</v>
      </c>
      <c r="J4" s="8">
        <v>7000</v>
      </c>
      <c r="K4" s="8">
        <v>4</v>
      </c>
      <c r="L4" s="8">
        <v>4</v>
      </c>
      <c r="M4" s="8">
        <v>95</v>
      </c>
      <c r="N4" s="9" t="s">
        <v>21</v>
      </c>
    </row>
    <row r="5" spans="1:14" x14ac:dyDescent="0.25">
      <c r="A5" s="7" t="s">
        <v>36</v>
      </c>
      <c r="B5" s="8" t="s">
        <v>37</v>
      </c>
      <c r="C5" s="8" t="s">
        <v>24</v>
      </c>
      <c r="D5" s="8" t="s">
        <v>38</v>
      </c>
      <c r="E5" s="8" t="s">
        <v>39</v>
      </c>
      <c r="F5" s="8" t="s">
        <v>40</v>
      </c>
      <c r="G5" s="8" t="s">
        <v>41</v>
      </c>
      <c r="H5" s="8" t="s">
        <v>42</v>
      </c>
      <c r="I5" s="8">
        <v>52000</v>
      </c>
      <c r="J5" s="8">
        <v>5500</v>
      </c>
      <c r="K5" s="8">
        <v>5</v>
      </c>
      <c r="L5" s="8">
        <v>3</v>
      </c>
      <c r="M5" s="8">
        <v>90</v>
      </c>
      <c r="N5" s="9" t="s">
        <v>21</v>
      </c>
    </row>
    <row r="6" spans="1:14" x14ac:dyDescent="0.25">
      <c r="A6" s="4" t="s">
        <v>43</v>
      </c>
      <c r="B6" s="5" t="s">
        <v>44</v>
      </c>
      <c r="C6" s="5" t="s">
        <v>24</v>
      </c>
      <c r="D6" s="5" t="s">
        <v>45</v>
      </c>
      <c r="E6" s="5" t="s">
        <v>18</v>
      </c>
      <c r="F6" s="5" t="s">
        <v>46</v>
      </c>
      <c r="G6" s="5"/>
      <c r="H6" s="5" t="s">
        <v>47</v>
      </c>
      <c r="I6" s="5">
        <v>45000</v>
      </c>
      <c r="J6" s="5">
        <v>5000</v>
      </c>
      <c r="K6" s="5">
        <v>6</v>
      </c>
      <c r="L6" s="5">
        <v>4</v>
      </c>
      <c r="M6" s="5">
        <v>96</v>
      </c>
      <c r="N6" s="6" t="s">
        <v>21</v>
      </c>
    </row>
    <row r="7" spans="1:14" x14ac:dyDescent="0.25">
      <c r="A7" s="4" t="s">
        <v>48</v>
      </c>
      <c r="B7" s="5" t="s">
        <v>49</v>
      </c>
      <c r="C7" s="5" t="s">
        <v>16</v>
      </c>
      <c r="D7" s="5" t="s">
        <v>38</v>
      </c>
      <c r="E7" s="5" t="s">
        <v>50</v>
      </c>
      <c r="F7" s="5" t="s">
        <v>51</v>
      </c>
      <c r="G7" s="5" t="s">
        <v>52</v>
      </c>
      <c r="H7" s="5" t="s">
        <v>52</v>
      </c>
      <c r="I7" s="5">
        <v>55000</v>
      </c>
      <c r="J7" s="5">
        <v>6000</v>
      </c>
      <c r="K7" s="5">
        <v>7</v>
      </c>
      <c r="L7" s="5">
        <v>3</v>
      </c>
      <c r="M7" s="5">
        <v>91</v>
      </c>
      <c r="N7" s="6" t="s">
        <v>21</v>
      </c>
    </row>
    <row r="8" spans="1:14" x14ac:dyDescent="0.25">
      <c r="A8" s="4" t="s">
        <v>53</v>
      </c>
      <c r="B8" s="5" t="s">
        <v>54</v>
      </c>
      <c r="C8" s="5" t="s">
        <v>16</v>
      </c>
      <c r="D8" s="5" t="s">
        <v>17</v>
      </c>
      <c r="E8" s="5" t="s">
        <v>55</v>
      </c>
      <c r="F8" s="5" t="s">
        <v>56</v>
      </c>
      <c r="G8" s="5" t="s">
        <v>57</v>
      </c>
      <c r="H8" s="5" t="s">
        <v>47</v>
      </c>
      <c r="I8" s="5">
        <v>70000</v>
      </c>
      <c r="J8" s="5">
        <v>10000</v>
      </c>
      <c r="K8" s="5">
        <v>8</v>
      </c>
      <c r="L8" s="5">
        <v>5</v>
      </c>
      <c r="M8" s="5">
        <v>98</v>
      </c>
      <c r="N8" s="6" t="s">
        <v>21</v>
      </c>
    </row>
    <row r="9" spans="1:14" x14ac:dyDescent="0.25">
      <c r="A9" s="7" t="s">
        <v>58</v>
      </c>
      <c r="B9" s="8" t="s">
        <v>59</v>
      </c>
      <c r="C9" s="8" t="s">
        <v>16</v>
      </c>
      <c r="D9" s="8" t="s">
        <v>31</v>
      </c>
      <c r="E9" s="8" t="s">
        <v>39</v>
      </c>
      <c r="F9" s="8" t="s">
        <v>60</v>
      </c>
      <c r="G9" s="8" t="s">
        <v>61</v>
      </c>
      <c r="H9" s="8" t="s">
        <v>62</v>
      </c>
      <c r="I9" s="8">
        <v>80000</v>
      </c>
      <c r="J9" s="8">
        <v>12000</v>
      </c>
      <c r="K9" s="8">
        <v>9</v>
      </c>
      <c r="L9" s="8">
        <v>5</v>
      </c>
      <c r="M9" s="8">
        <v>99</v>
      </c>
      <c r="N9" s="9" t="s">
        <v>21</v>
      </c>
    </row>
    <row r="10" spans="1:14" x14ac:dyDescent="0.25">
      <c r="A10" s="4" t="s">
        <v>63</v>
      </c>
      <c r="B10" s="5" t="s">
        <v>64</v>
      </c>
      <c r="C10" s="5" t="s">
        <v>24</v>
      </c>
      <c r="D10" s="5" t="s">
        <v>45</v>
      </c>
      <c r="E10" s="5" t="s">
        <v>55</v>
      </c>
      <c r="F10" s="5" t="s">
        <v>65</v>
      </c>
      <c r="G10" s="5" t="s">
        <v>66</v>
      </c>
      <c r="H10" s="5" t="s">
        <v>67</v>
      </c>
      <c r="I10" s="5">
        <v>85000</v>
      </c>
      <c r="J10" s="5">
        <v>15000</v>
      </c>
      <c r="K10" s="5">
        <v>10</v>
      </c>
      <c r="L10" s="5">
        <v>5</v>
      </c>
      <c r="M10" s="5">
        <v>97</v>
      </c>
      <c r="N10" s="6" t="s">
        <v>21</v>
      </c>
    </row>
    <row r="11" spans="1:14" x14ac:dyDescent="0.25">
      <c r="A11" s="10" t="s">
        <v>68</v>
      </c>
      <c r="B11" s="11" t="s">
        <v>69</v>
      </c>
      <c r="C11" s="11" t="s">
        <v>16</v>
      </c>
      <c r="D11" s="11" t="s">
        <v>25</v>
      </c>
      <c r="E11" s="11" t="s">
        <v>55</v>
      </c>
      <c r="F11" s="11" t="s">
        <v>70</v>
      </c>
      <c r="G11" s="11" t="s">
        <v>71</v>
      </c>
      <c r="H11" s="11" t="s">
        <v>72</v>
      </c>
      <c r="I11" s="11">
        <v>90000</v>
      </c>
      <c r="J11" s="11">
        <v>18000</v>
      </c>
      <c r="K11" s="11">
        <v>11</v>
      </c>
      <c r="L11" s="11">
        <v>5</v>
      </c>
      <c r="M11" s="11">
        <v>99</v>
      </c>
      <c r="N11" s="12" t="s">
        <v>21</v>
      </c>
    </row>
  </sheetData>
  <conditionalFormatting sqref="A2:A11">
    <cfRule type="duplicateValues" dxfId="8" priority="1"/>
  </conditionalFormatting>
  <conditionalFormatting sqref="B2:B11">
    <cfRule type="duplicateValues" dxfId="7" priority="2"/>
  </conditionalFormatting>
  <dataValidations count="1">
    <dataValidation type="list" allowBlank="1" showInputMessage="1" showErrorMessage="1" sqref="D2:D11" xr:uid="{E406C921-DECC-4DC5-8B7E-297B1FD4B9C5}">
      <formula1>$D$2:$D$11</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B99C8-8302-4FED-8FC2-4F9B95CC1E34}">
  <dimension ref="A4:AB110"/>
  <sheetViews>
    <sheetView topLeftCell="A13" zoomScale="27" workbookViewId="0">
      <selection activeCell="U113" sqref="U113"/>
    </sheetView>
  </sheetViews>
  <sheetFormatPr defaultRowHeight="13.8" x14ac:dyDescent="0.25"/>
  <cols>
    <col min="11" max="11" width="15" customWidth="1"/>
    <col min="13" max="13" width="14.5546875" customWidth="1"/>
    <col min="14" max="14" width="13.6640625" customWidth="1"/>
    <col min="15" max="15" width="20.33203125" customWidth="1"/>
    <col min="16" max="16" width="18.6640625" customWidth="1"/>
    <col min="18" max="18" width="13.5546875" bestFit="1" customWidth="1"/>
    <col min="19" max="19" width="20.77734375" bestFit="1" customWidth="1"/>
    <col min="20" max="20" width="16.44140625" customWidth="1"/>
  </cols>
  <sheetData>
    <row r="4" spans="1:13" x14ac:dyDescent="0.25">
      <c r="A4" t="s">
        <v>73</v>
      </c>
      <c r="K4" s="15" t="s">
        <v>180</v>
      </c>
      <c r="L4" s="16">
        <f>SUM([1]!Table1[Bonus])</f>
        <v>85500</v>
      </c>
    </row>
    <row r="5" spans="1:13" x14ac:dyDescent="0.25">
      <c r="A5" t="s">
        <v>74</v>
      </c>
      <c r="K5" s="15" t="s">
        <v>183</v>
      </c>
      <c r="L5" s="16">
        <f>AVERAGE([1]!Table1[Salary])</f>
        <v>61500</v>
      </c>
    </row>
    <row r="6" spans="1:13" x14ac:dyDescent="0.25">
      <c r="A6" t="s">
        <v>75</v>
      </c>
      <c r="K6" s="15" t="s">
        <v>181</v>
      </c>
      <c r="L6" s="16">
        <f>MAX([1]!Table1[Salary])</f>
        <v>90000</v>
      </c>
    </row>
    <row r="7" spans="1:13" x14ac:dyDescent="0.25">
      <c r="A7" t="s">
        <v>76</v>
      </c>
      <c r="K7" s="15" t="s">
        <v>182</v>
      </c>
      <c r="L7" s="16">
        <f>MIN([1]!Table1[Salary])</f>
        <v>38000</v>
      </c>
    </row>
    <row r="8" spans="1:13" x14ac:dyDescent="0.25">
      <c r="A8" t="s">
        <v>77</v>
      </c>
      <c r="K8" s="19" t="s">
        <v>188</v>
      </c>
      <c r="L8" s="20">
        <f>COUNTA([1]!Table1[Employee ID])</f>
        <v>10</v>
      </c>
    </row>
    <row r="9" spans="1:13" x14ac:dyDescent="0.25">
      <c r="A9" t="s">
        <v>78</v>
      </c>
      <c r="K9" s="15" t="s">
        <v>189</v>
      </c>
      <c r="L9" s="18" t="s">
        <v>184</v>
      </c>
      <c r="M9" s="18">
        <f>COUNTIF([1]!Table1[Gender],L9)</f>
        <v>5</v>
      </c>
    </row>
    <row r="10" spans="1:13" x14ac:dyDescent="0.25">
      <c r="A10" t="s">
        <v>79</v>
      </c>
      <c r="K10" s="15" t="s">
        <v>189</v>
      </c>
      <c r="L10" s="18" t="s">
        <v>185</v>
      </c>
      <c r="M10" s="18">
        <f>COUNTIF([1]!Table1[Department],L10)</f>
        <v>2</v>
      </c>
    </row>
    <row r="11" spans="1:13" x14ac:dyDescent="0.25">
      <c r="A11" t="s">
        <v>80</v>
      </c>
      <c r="K11" s="15" t="s">
        <v>190</v>
      </c>
      <c r="L11" s="18">
        <f>AVERAGE([1]!Table1[Bonus])</f>
        <v>8550</v>
      </c>
    </row>
    <row r="12" spans="1:13" x14ac:dyDescent="0.25">
      <c r="A12" t="s">
        <v>81</v>
      </c>
      <c r="K12" s="19" t="s">
        <v>188</v>
      </c>
      <c r="L12" s="20">
        <f>COUNTA([1]!Table1[Status])</f>
        <v>10</v>
      </c>
    </row>
    <row r="13" spans="1:13" x14ac:dyDescent="0.25">
      <c r="A13" t="s">
        <v>82</v>
      </c>
      <c r="K13" s="15" t="s">
        <v>191</v>
      </c>
      <c r="L13" s="18" t="s">
        <v>184</v>
      </c>
      <c r="M13" s="18">
        <f>SUMIF([1]!Table1[Gender],L13,[1]!Table1[Salary])</f>
        <v>333000</v>
      </c>
    </row>
    <row r="14" spans="1:13" x14ac:dyDescent="0.25">
      <c r="A14" t="s">
        <v>83</v>
      </c>
      <c r="K14" s="15" t="s">
        <v>192</v>
      </c>
      <c r="L14" s="18" t="s">
        <v>186</v>
      </c>
      <c r="M14" s="18">
        <f>AVERAGEIF([1]!Table1[Gender],L14,[1]!Table1[Salary])</f>
        <v>56400</v>
      </c>
    </row>
    <row r="15" spans="1:13" x14ac:dyDescent="0.25">
      <c r="A15" t="s">
        <v>84</v>
      </c>
      <c r="K15" s="15" t="s">
        <v>189</v>
      </c>
      <c r="L15" s="18" t="s">
        <v>187</v>
      </c>
      <c r="M15" s="18">
        <f>COUNTIF([1]!Table1[State],L15)</f>
        <v>2</v>
      </c>
    </row>
    <row r="16" spans="1:13" x14ac:dyDescent="0.25">
      <c r="A16" t="s">
        <v>85</v>
      </c>
    </row>
    <row r="17" spans="1:16" x14ac:dyDescent="0.25">
      <c r="A17" t="s">
        <v>86</v>
      </c>
    </row>
    <row r="18" spans="1:16" x14ac:dyDescent="0.25">
      <c r="A18" t="s">
        <v>87</v>
      </c>
      <c r="K18" s="15" t="s">
        <v>193</v>
      </c>
      <c r="M18" s="15" t="s">
        <v>193</v>
      </c>
      <c r="N18" s="25" t="s">
        <v>193</v>
      </c>
      <c r="O18" s="25" t="s">
        <v>193</v>
      </c>
      <c r="P18" s="15" t="s">
        <v>193</v>
      </c>
    </row>
    <row r="19" spans="1:16" x14ac:dyDescent="0.25">
      <c r="A19" t="s">
        <v>88</v>
      </c>
      <c r="K19" s="18" t="str" cm="1">
        <f t="array" ref="K19:K25">_xlfn._xlws.FILTER([1]!Table1[Employee Name],[1]!Table1[Salary]&gt;50000)</f>
        <v>Rahul Singh</v>
      </c>
      <c r="M19" s="18" t="str" cm="1">
        <f t="array" ref="M19">_xlfn._xlws.FILTER([1]!Table1[Employee Name],[1]!Table1[Salary]&lt;40000)</f>
        <v>Pooja Nair</v>
      </c>
      <c r="N19" s="26" t="str" cm="1">
        <f t="array" ref="N19">_xlfn._xlws.FILTER([1]!Table1[Employee Name],([1]!Table1[Gender]="female")*([1]!Table1[Department]="it"))</f>
        <v>Neha Joshi</v>
      </c>
      <c r="O19" s="26" t="str" cm="1">
        <f t="array" ref="O19:O22">_xlfn._xlws.FILTER([1]!Table1[Employee Name],[1]!Table1[Performance Rating]=5)</f>
        <v>Priya Patel</v>
      </c>
      <c r="P19" s="18" t="str" cm="1">
        <f t="array" ref="P19:P23">_xlfn._xlws.FILTER([1]!Table1[Employee Name],[1]!Table1[Attendance %]&gt;95)</f>
        <v>Amit Sharma</v>
      </c>
    </row>
    <row r="20" spans="1:16" x14ac:dyDescent="0.25">
      <c r="A20" t="s">
        <v>89</v>
      </c>
      <c r="K20" s="18" t="str">
        <v>Vivek Kumar</v>
      </c>
      <c r="O20" s="26" t="str">
        <v>Neha Joshi</v>
      </c>
      <c r="P20" s="18" t="str">
        <v>Priya Patel</v>
      </c>
    </row>
    <row r="21" spans="1:16" x14ac:dyDescent="0.25">
      <c r="A21" t="s">
        <v>90</v>
      </c>
      <c r="K21" s="18" t="str">
        <v>Sneha Gupta</v>
      </c>
      <c r="O21" s="26" t="str">
        <v>Arjun Verma</v>
      </c>
      <c r="P21" s="18" t="str">
        <v>Neha Joshi</v>
      </c>
    </row>
    <row r="22" spans="1:16" x14ac:dyDescent="0.25">
      <c r="A22" t="s">
        <v>91</v>
      </c>
      <c r="K22" s="18" t="str">
        <v>Priya Patel</v>
      </c>
      <c r="O22" s="26" t="str">
        <v>Riya Das</v>
      </c>
      <c r="P22" s="18" t="str">
        <v>Arjun Verma</v>
      </c>
    </row>
    <row r="23" spans="1:16" x14ac:dyDescent="0.25">
      <c r="A23" t="s">
        <v>92</v>
      </c>
      <c r="K23" s="18" t="str">
        <v>Neha Joshi</v>
      </c>
      <c r="P23" s="18" t="str">
        <v>Riya Das</v>
      </c>
    </row>
    <row r="24" spans="1:16" x14ac:dyDescent="0.25">
      <c r="A24" t="s">
        <v>93</v>
      </c>
      <c r="K24" s="18" t="str">
        <v>Arjun Verma</v>
      </c>
    </row>
    <row r="25" spans="1:16" x14ac:dyDescent="0.25">
      <c r="A25" t="s">
        <v>94</v>
      </c>
      <c r="K25" s="18" t="str">
        <v>Riya Das</v>
      </c>
    </row>
    <row r="26" spans="1:16" x14ac:dyDescent="0.25">
      <c r="A26" t="s">
        <v>95</v>
      </c>
    </row>
    <row r="27" spans="1:16" x14ac:dyDescent="0.25">
      <c r="A27" t="s">
        <v>96</v>
      </c>
    </row>
    <row r="28" spans="1:16" x14ac:dyDescent="0.25">
      <c r="A28" t="s">
        <v>97</v>
      </c>
    </row>
    <row r="29" spans="1:16" x14ac:dyDescent="0.25">
      <c r="A29" t="s">
        <v>98</v>
      </c>
    </row>
    <row r="30" spans="1:16" x14ac:dyDescent="0.25">
      <c r="A30" t="s">
        <v>99</v>
      </c>
    </row>
    <row r="31" spans="1:16" x14ac:dyDescent="0.25">
      <c r="A31" t="s">
        <v>100</v>
      </c>
    </row>
    <row r="32" spans="1:16" x14ac:dyDescent="0.25">
      <c r="A32" t="s">
        <v>101</v>
      </c>
    </row>
    <row r="33" spans="1:28" x14ac:dyDescent="0.25">
      <c r="A33" t="s">
        <v>102</v>
      </c>
    </row>
    <row r="34" spans="1:28" x14ac:dyDescent="0.25">
      <c r="A34" t="s">
        <v>103</v>
      </c>
    </row>
    <row r="35" spans="1:28" x14ac:dyDescent="0.25">
      <c r="A35" t="s">
        <v>104</v>
      </c>
    </row>
    <row r="36" spans="1:28" x14ac:dyDescent="0.25">
      <c r="A36" t="s">
        <v>105</v>
      </c>
    </row>
    <row r="37" spans="1:28" x14ac:dyDescent="0.25">
      <c r="A37" t="s">
        <v>106</v>
      </c>
    </row>
    <row r="38" spans="1:28" x14ac:dyDescent="0.25">
      <c r="A38" t="s">
        <v>107</v>
      </c>
      <c r="P38" s="15" t="s">
        <v>211</v>
      </c>
      <c r="Q38" s="18" t="str">
        <f>_xlfn.XLOOKUP(MAX([1]!Table1[Salary]),[1]!Table1[Salary],[1]!Table1[Employee Name],"not found",0,)</f>
        <v>Riya Das</v>
      </c>
    </row>
    <row r="39" spans="1:28" x14ac:dyDescent="0.25">
      <c r="A39" t="s">
        <v>108</v>
      </c>
      <c r="K39" s="15" t="s">
        <v>192</v>
      </c>
      <c r="L39" s="18" t="s">
        <v>31</v>
      </c>
      <c r="M39" s="18">
        <f>AVERAGEIF([1]!Table1[Department],L39,[1]!Table1[Salary])</f>
        <v>70000</v>
      </c>
      <c r="P39" s="15" t="s">
        <v>212</v>
      </c>
      <c r="Q39" s="18" t="str">
        <f>_xlfn.XLOOKUP(MIN([1]!Table1[Salary]),[1]!Table1[Salary],[1]!Table1[Employee Name],"not found",0)</f>
        <v>Pooja Nair</v>
      </c>
      <c r="T39" s="13" t="s">
        <v>222</v>
      </c>
      <c r="U39" t="str" cm="1">
        <f t="array" ref="U39:AB43">_xlfn.TAKE(_xlfn.SORTBY([1]!Table1[[Employee Name]:[Salary]],[1]!Table1[Salary],-1),5)</f>
        <v>Riya Das</v>
      </c>
      <c r="V39" t="str">
        <v>Female</v>
      </c>
      <c r="W39" t="str">
        <v>Marketing</v>
      </c>
      <c r="X39" t="str">
        <v>Manager</v>
      </c>
      <c r="Y39" t="str">
        <v>08-Apr-2015</v>
      </c>
      <c r="Z39" t="str">
        <v>Kolkata</v>
      </c>
      <c r="AA39" t="str">
        <v>West Bengal</v>
      </c>
      <c r="AB39">
        <v>90000</v>
      </c>
    </row>
    <row r="40" spans="1:28" x14ac:dyDescent="0.25">
      <c r="A40" t="s">
        <v>109</v>
      </c>
      <c r="K40" s="15" t="s">
        <v>191</v>
      </c>
      <c r="L40" s="18" t="s">
        <v>31</v>
      </c>
      <c r="M40" s="18">
        <f>SUMIF([1]!Table1[Department],L40,[1]!Table1[Salary])</f>
        <v>140000</v>
      </c>
      <c r="U40" t="str">
        <v>Arjun Verma</v>
      </c>
      <c r="V40" t="str">
        <v>Male</v>
      </c>
      <c r="W40" t="str">
        <v>Sales</v>
      </c>
      <c r="X40" t="str">
        <v>Manager</v>
      </c>
      <c r="Y40" t="str">
        <v>22-Aug-2016</v>
      </c>
      <c r="Z40" t="str">
        <v>Chennai</v>
      </c>
      <c r="AA40" t="str">
        <v>Tamil Nadu</v>
      </c>
      <c r="AB40">
        <v>85000</v>
      </c>
    </row>
    <row r="41" spans="1:28" x14ac:dyDescent="0.25">
      <c r="A41" t="s">
        <v>110</v>
      </c>
      <c r="K41" s="18"/>
      <c r="L41" s="18"/>
      <c r="M41" s="18"/>
      <c r="P41" s="15" t="s">
        <v>213</v>
      </c>
      <c r="Q41" s="18" t="s">
        <v>68</v>
      </c>
      <c r="R41" s="18">
        <f>INDEX([1]!Table1[#Data],MATCH(Q41,[1]!Table1[Employee ID],0),9)</f>
        <v>90000</v>
      </c>
      <c r="U41" t="str">
        <v>Neha Joshi</v>
      </c>
      <c r="V41" t="str">
        <v>Female</v>
      </c>
      <c r="W41" t="str">
        <v>IT</v>
      </c>
      <c r="X41" t="str">
        <v>Analyst</v>
      </c>
      <c r="Y41" t="str">
        <v>05-May-2017</v>
      </c>
      <c r="Z41" t="str">
        <v>Hyderabad</v>
      </c>
      <c r="AA41" t="str">
        <v>Telangana</v>
      </c>
      <c r="AB41">
        <v>80000</v>
      </c>
    </row>
    <row r="42" spans="1:28" x14ac:dyDescent="0.25">
      <c r="A42" t="s">
        <v>111</v>
      </c>
      <c r="K42" s="15" t="s">
        <v>220</v>
      </c>
      <c r="L42" s="18" t="s">
        <v>31</v>
      </c>
      <c r="M42" s="18">
        <f>_xlfn.MAXIFS([1]!Table1[Salary],[1]!Table1[Department],L42)</f>
        <v>80000</v>
      </c>
      <c r="P42" s="15" t="s">
        <v>210</v>
      </c>
      <c r="Q42" s="18" t="s">
        <v>207</v>
      </c>
      <c r="R42" s="18" t="str">
        <f>_xlfn.XLOOKUP(Q42,[1]!Table1[Employee ID],[1]!Table1[Department],"not found",0)</f>
        <v>Marketing</v>
      </c>
      <c r="U42" t="str">
        <v>Priya Patel</v>
      </c>
      <c r="V42" t="str">
        <v>Female</v>
      </c>
      <c r="W42" t="str">
        <v>HR</v>
      </c>
      <c r="X42" t="str">
        <v>Manager</v>
      </c>
      <c r="Y42" t="str">
        <v>20-Mar-2018</v>
      </c>
      <c r="Z42" t="str">
        <v>Mumbai</v>
      </c>
      <c r="AA42" t="str">
        <v>Maharashtra</v>
      </c>
      <c r="AB42">
        <v>70000</v>
      </c>
    </row>
    <row r="43" spans="1:28" x14ac:dyDescent="0.25">
      <c r="A43" t="s">
        <v>112</v>
      </c>
      <c r="K43" s="15" t="s">
        <v>221</v>
      </c>
      <c r="L43" s="18" t="s">
        <v>31</v>
      </c>
      <c r="M43" s="18">
        <f>_xlfn.MINIFS([1]!Table1[Salary],[1]!Table1[Department],L43)</f>
        <v>60000</v>
      </c>
      <c r="U43" t="str">
        <v>Rahul Singh</v>
      </c>
      <c r="V43" t="str">
        <v>Male</v>
      </c>
      <c r="W43" t="str">
        <v>IT</v>
      </c>
      <c r="X43" t="str">
        <v>Developer</v>
      </c>
      <c r="Y43" t="str">
        <v>10-Jul-2021</v>
      </c>
      <c r="Z43" t="str">
        <v>Bengaluru</v>
      </c>
      <c r="AA43" t="str">
        <v>Karnataka</v>
      </c>
      <c r="AB43">
        <v>60000</v>
      </c>
    </row>
    <row r="44" spans="1:28" x14ac:dyDescent="0.25">
      <c r="A44" t="s">
        <v>113</v>
      </c>
      <c r="K44" s="15" t="s">
        <v>189</v>
      </c>
      <c r="L44" s="18" t="s">
        <v>31</v>
      </c>
      <c r="M44" s="18">
        <f>COUNTIF([1]!Table1[Department],L44)</f>
        <v>2</v>
      </c>
      <c r="P44" s="15" t="s">
        <v>214</v>
      </c>
      <c r="Q44" s="18">
        <f>LARGE([1]!Table1[Salary],2)</f>
        <v>85000</v>
      </c>
    </row>
    <row r="45" spans="1:28" x14ac:dyDescent="0.25">
      <c r="A45" t="s">
        <v>114</v>
      </c>
      <c r="K45" s="15" t="s">
        <v>192</v>
      </c>
      <c r="L45" s="18" t="s">
        <v>31</v>
      </c>
      <c r="M45" s="18">
        <f>AVERAGEIF([1]!Table1[Department],L45,[1]!Table1[Attendance %])</f>
        <v>97</v>
      </c>
      <c r="P45" s="15" t="s">
        <v>214</v>
      </c>
      <c r="Q45" s="18">
        <f>LARGE([1]!Table1[Salary],3)</f>
        <v>80000</v>
      </c>
      <c r="T45" s="13" t="s">
        <v>223</v>
      </c>
      <c r="U45" t="str" cm="1">
        <f t="array" ref="U45:AB49">_xlfn.TAKE(_xlfn.SORTBY([1]!Table1[[Employee Name]:[Salary]],[1]!Table1[Salary],1),5)</f>
        <v>Pooja Nair</v>
      </c>
      <c r="V45" t="str">
        <v>Female</v>
      </c>
      <c r="W45" t="str">
        <v>HR</v>
      </c>
      <c r="X45" t="str">
        <v>Executive</v>
      </c>
      <c r="Y45" t="str">
        <v>30-Sep-2023</v>
      </c>
      <c r="Z45">
        <v>0</v>
      </c>
      <c r="AA45" t="str">
        <v>Kerala</v>
      </c>
      <c r="AB45">
        <v>38000</v>
      </c>
    </row>
    <row r="46" spans="1:28" x14ac:dyDescent="0.25">
      <c r="A46" t="s">
        <v>115</v>
      </c>
      <c r="K46" s="15" t="s">
        <v>192</v>
      </c>
      <c r="L46" s="18" t="s">
        <v>31</v>
      </c>
      <c r="M46" s="18">
        <f>AVERAGEIF([1]!Table1[Department],L46,[1]!Table1[Performance Rating])</f>
        <v>4.5</v>
      </c>
      <c r="U46" t="str">
        <v>Karan Mehta</v>
      </c>
      <c r="V46" t="str">
        <v>Male</v>
      </c>
      <c r="W46" t="str">
        <v>Marketing</v>
      </c>
      <c r="X46" t="str">
        <v>Executive</v>
      </c>
      <c r="Y46" t="str">
        <v>12-Jun-2022</v>
      </c>
      <c r="Z46" t="str">
        <v>Ahmedabad</v>
      </c>
      <c r="AA46" t="str">
        <v>Gujarat</v>
      </c>
      <c r="AB46">
        <v>40000</v>
      </c>
    </row>
    <row r="47" spans="1:28" x14ac:dyDescent="0.25">
      <c r="A47" t="s">
        <v>116</v>
      </c>
      <c r="P47" s="15" t="s">
        <v>215</v>
      </c>
      <c r="Q47" s="18" t="s">
        <v>208</v>
      </c>
      <c r="R47" s="18" t="str">
        <f>_xlfn.XLOOKUP(_xlfn.MAXIFS([1]!Table1[Salary],[1]!Table1[Gender],Q47),[1]!Table1[Salary],[1]!Table1[Employee Name],"NOT FOUND",0)</f>
        <v>Riya Das</v>
      </c>
      <c r="U47" t="str">
        <v>Amit Sharma</v>
      </c>
      <c r="V47" t="str">
        <v>Male</v>
      </c>
      <c r="W47" t="str">
        <v>Sales</v>
      </c>
      <c r="X47" t="str">
        <v>Executive</v>
      </c>
      <c r="Y47" t="str">
        <v>15-Jan-2020</v>
      </c>
      <c r="Z47">
        <v>0</v>
      </c>
      <c r="AA47" t="str">
        <v>Maharashtra</v>
      </c>
      <c r="AB47">
        <v>45000</v>
      </c>
    </row>
    <row r="48" spans="1:28" x14ac:dyDescent="0.25">
      <c r="A48" t="s">
        <v>117</v>
      </c>
      <c r="P48" s="15" t="s">
        <v>216</v>
      </c>
      <c r="Q48" s="18" t="s">
        <v>185</v>
      </c>
      <c r="R48" s="18" t="str">
        <f>_xlfn.XLOOKUP(_xlfn.MAXIFS([1]!Table1[Salary],[1]!Table1[Department],Q48),[1]!Table1[Salary],[1]!Table1[Employee Name],"not found",0)</f>
        <v>Neha Joshi</v>
      </c>
      <c r="U48" t="str">
        <v>Vivek Kumar</v>
      </c>
      <c r="V48" t="str">
        <v>Male</v>
      </c>
      <c r="W48" t="str">
        <v>Finance</v>
      </c>
      <c r="X48" t="str">
        <v>Analyst</v>
      </c>
      <c r="Y48" t="str">
        <v>18-Nov-2020</v>
      </c>
      <c r="Z48" t="str">
        <v>Jaipur</v>
      </c>
      <c r="AA48" t="str">
        <v>Rajasthan</v>
      </c>
      <c r="AB48">
        <v>52000</v>
      </c>
    </row>
    <row r="49" spans="1:28" x14ac:dyDescent="0.25">
      <c r="A49" t="s">
        <v>118</v>
      </c>
      <c r="U49" t="str">
        <v>Sneha Gupta</v>
      </c>
      <c r="V49" t="str">
        <v>Female</v>
      </c>
      <c r="W49" t="str">
        <v>Finance</v>
      </c>
      <c r="X49" t="str">
        <v>Accountant</v>
      </c>
      <c r="Y49" t="str">
        <v>01-Feb-2019</v>
      </c>
      <c r="Z49" t="str">
        <v>Delhi</v>
      </c>
      <c r="AA49" t="str">
        <v>Delhi</v>
      </c>
      <c r="AB49">
        <v>55000</v>
      </c>
    </row>
    <row r="50" spans="1:28" x14ac:dyDescent="0.25">
      <c r="A50" t="s">
        <v>119</v>
      </c>
    </row>
    <row r="51" spans="1:28" x14ac:dyDescent="0.25">
      <c r="A51" t="s">
        <v>120</v>
      </c>
    </row>
    <row r="52" spans="1:28" x14ac:dyDescent="0.25">
      <c r="A52" t="s">
        <v>121</v>
      </c>
      <c r="O52" s="24"/>
      <c r="P52" s="27" t="s">
        <v>217</v>
      </c>
      <c r="Q52" s="18">
        <f>AVERAGEIF([1]!Table1[Performance Rating],5,[1]!Table1[Salary])</f>
        <v>81250</v>
      </c>
    </row>
    <row r="53" spans="1:28" x14ac:dyDescent="0.25">
      <c r="A53" t="s">
        <v>122</v>
      </c>
      <c r="P53" s="15" t="s">
        <v>218</v>
      </c>
      <c r="Q53" s="18" t="s">
        <v>209</v>
      </c>
      <c r="R53" s="18">
        <f>SUMIF([1]!Table1[Attendance %],Q53,[1]!Table1[Salary])</f>
        <v>370000</v>
      </c>
    </row>
    <row r="54" spans="1:28" x14ac:dyDescent="0.25">
      <c r="A54" t="s">
        <v>123</v>
      </c>
    </row>
    <row r="55" spans="1:28" x14ac:dyDescent="0.25">
      <c r="A55" t="s">
        <v>124</v>
      </c>
    </row>
    <row r="56" spans="1:28" x14ac:dyDescent="0.25">
      <c r="A56" t="s">
        <v>125</v>
      </c>
    </row>
    <row r="57" spans="1:28" x14ac:dyDescent="0.25">
      <c r="A57" t="s">
        <v>126</v>
      </c>
    </row>
    <row r="58" spans="1:28" x14ac:dyDescent="0.25">
      <c r="A58" t="s">
        <v>127</v>
      </c>
      <c r="N58" s="15" t="s">
        <v>219</v>
      </c>
    </row>
    <row r="59" spans="1:28" x14ac:dyDescent="0.25">
      <c r="A59" t="s">
        <v>128</v>
      </c>
      <c r="N59" s="18"/>
      <c r="P59" s="17" t="s">
        <v>204</v>
      </c>
      <c r="Q59" s="14"/>
      <c r="R59" s="15" t="s">
        <v>206</v>
      </c>
    </row>
    <row r="60" spans="1:28" x14ac:dyDescent="0.25">
      <c r="A60" t="s">
        <v>129</v>
      </c>
      <c r="N60" s="18" t="str" cm="1">
        <f t="array" ref="N60:N69">_xlfn.SORTBY([1]!Table1[Employee Name],[1]!Table1[Experience (Years)],-1)</f>
        <v>Riya Das</v>
      </c>
      <c r="P60" s="17" t="s">
        <v>205</v>
      </c>
      <c r="R60" s="18" cm="1">
        <f t="array" ref="R60:R69">_xlfn._xlws.SORT([1]!Table1[Salary],1,-1)</f>
        <v>90000</v>
      </c>
    </row>
    <row r="61" spans="1:28" x14ac:dyDescent="0.25">
      <c r="A61" t="s">
        <v>130</v>
      </c>
      <c r="N61" s="18" t="str">
        <v>Arjun Verma</v>
      </c>
      <c r="P61" s="24" t="str" cm="1">
        <f t="array" ref="P61:P65">_xlfn.UNIQUE([1]!Table1[Department],0)</f>
        <v>HR</v>
      </c>
      <c r="R61" s="18">
        <v>85000</v>
      </c>
    </row>
    <row r="62" spans="1:28" x14ac:dyDescent="0.25">
      <c r="A62" t="s">
        <v>131</v>
      </c>
      <c r="N62" s="18" t="str">
        <v>Neha Joshi</v>
      </c>
      <c r="P62" s="24" t="str">
        <v>Marketing</v>
      </c>
      <c r="R62" s="18">
        <v>80000</v>
      </c>
    </row>
    <row r="63" spans="1:28" x14ac:dyDescent="0.25">
      <c r="A63" t="s">
        <v>132</v>
      </c>
      <c r="N63" s="18" t="str">
        <v>Priya Patel</v>
      </c>
      <c r="P63" s="24" t="str">
        <v>IT</v>
      </c>
      <c r="R63" s="18">
        <v>70000</v>
      </c>
    </row>
    <row r="64" spans="1:28" x14ac:dyDescent="0.25">
      <c r="A64" t="s">
        <v>133</v>
      </c>
      <c r="N64" s="18" t="str">
        <v>Sneha Gupta</v>
      </c>
      <c r="P64" s="24" t="str">
        <v>Finance</v>
      </c>
      <c r="R64" s="18">
        <v>60000</v>
      </c>
    </row>
    <row r="65" spans="1:22" x14ac:dyDescent="0.25">
      <c r="A65" t="s">
        <v>134</v>
      </c>
      <c r="N65" s="18" t="str">
        <v>Amit Sharma</v>
      </c>
      <c r="P65" s="24" t="str">
        <v>Sales</v>
      </c>
      <c r="R65" s="18">
        <v>55000</v>
      </c>
    </row>
    <row r="66" spans="1:22" x14ac:dyDescent="0.25">
      <c r="A66" t="s">
        <v>135</v>
      </c>
      <c r="N66" s="18" t="str">
        <v>Vivek Kumar</v>
      </c>
      <c r="R66" s="18">
        <v>52000</v>
      </c>
    </row>
    <row r="67" spans="1:22" x14ac:dyDescent="0.25">
      <c r="A67" t="s">
        <v>136</v>
      </c>
      <c r="N67" s="18" t="str">
        <v>Rahul Singh</v>
      </c>
      <c r="R67" s="18">
        <v>45000</v>
      </c>
    </row>
    <row r="68" spans="1:22" x14ac:dyDescent="0.25">
      <c r="A68" t="s">
        <v>137</v>
      </c>
      <c r="N68" s="18" t="str">
        <v>Karan Mehta</v>
      </c>
      <c r="R68" s="18">
        <v>40000</v>
      </c>
    </row>
    <row r="69" spans="1:22" x14ac:dyDescent="0.25">
      <c r="A69" t="s">
        <v>138</v>
      </c>
      <c r="N69" s="18" t="str">
        <v>Pooja Nair</v>
      </c>
      <c r="R69" s="18">
        <v>38000</v>
      </c>
    </row>
    <row r="70" spans="1:22" x14ac:dyDescent="0.25">
      <c r="A70" t="s">
        <v>139</v>
      </c>
      <c r="R70" s="18"/>
    </row>
    <row r="71" spans="1:22" x14ac:dyDescent="0.25">
      <c r="A71" t="s">
        <v>140</v>
      </c>
    </row>
    <row r="72" spans="1:22" x14ac:dyDescent="0.25">
      <c r="A72" t="s">
        <v>141</v>
      </c>
    </row>
    <row r="73" spans="1:22" x14ac:dyDescent="0.25">
      <c r="A73" t="s">
        <v>142</v>
      </c>
    </row>
    <row r="74" spans="1:22" x14ac:dyDescent="0.25">
      <c r="A74" t="s">
        <v>143</v>
      </c>
    </row>
    <row r="75" spans="1:22" x14ac:dyDescent="0.25">
      <c r="A75" t="s">
        <v>144</v>
      </c>
    </row>
    <row r="76" spans="1:22" x14ac:dyDescent="0.25">
      <c r="A76" t="s">
        <v>145</v>
      </c>
      <c r="O76" s="22" t="s">
        <v>194</v>
      </c>
      <c r="P76" t="s">
        <v>195</v>
      </c>
      <c r="R76" s="22" t="s">
        <v>194</v>
      </c>
      <c r="S76" t="s">
        <v>196</v>
      </c>
      <c r="U76" s="22" t="s">
        <v>194</v>
      </c>
      <c r="V76" t="s">
        <v>197</v>
      </c>
    </row>
    <row r="77" spans="1:22" x14ac:dyDescent="0.25">
      <c r="A77" t="s">
        <v>146</v>
      </c>
      <c r="O77" s="21" t="s">
        <v>38</v>
      </c>
      <c r="P77">
        <v>107000</v>
      </c>
      <c r="R77" s="21" t="s">
        <v>38</v>
      </c>
      <c r="S77">
        <v>53500</v>
      </c>
      <c r="U77" s="21" t="s">
        <v>38</v>
      </c>
      <c r="V77">
        <v>2</v>
      </c>
    </row>
    <row r="78" spans="1:22" x14ac:dyDescent="0.25">
      <c r="A78" t="s">
        <v>147</v>
      </c>
      <c r="O78" s="21" t="s">
        <v>17</v>
      </c>
      <c r="P78">
        <v>108000</v>
      </c>
      <c r="R78" s="21" t="s">
        <v>17</v>
      </c>
      <c r="S78">
        <v>54000</v>
      </c>
      <c r="U78" s="21" t="s">
        <v>17</v>
      </c>
      <c r="V78">
        <v>2</v>
      </c>
    </row>
    <row r="79" spans="1:22" x14ac:dyDescent="0.25">
      <c r="A79" t="s">
        <v>148</v>
      </c>
      <c r="O79" s="21" t="s">
        <v>31</v>
      </c>
      <c r="P79">
        <v>140000</v>
      </c>
      <c r="R79" s="21" t="s">
        <v>31</v>
      </c>
      <c r="S79">
        <v>70000</v>
      </c>
      <c r="U79" s="21" t="s">
        <v>31</v>
      </c>
      <c r="V79">
        <v>2</v>
      </c>
    </row>
    <row r="80" spans="1:22" x14ac:dyDescent="0.25">
      <c r="A80" t="s">
        <v>149</v>
      </c>
      <c r="O80" s="21" t="s">
        <v>25</v>
      </c>
      <c r="P80">
        <v>130000</v>
      </c>
      <c r="R80" s="21" t="s">
        <v>25</v>
      </c>
      <c r="S80">
        <v>65000</v>
      </c>
      <c r="U80" s="21" t="s">
        <v>25</v>
      </c>
      <c r="V80">
        <v>2</v>
      </c>
    </row>
    <row r="81" spans="1:22" x14ac:dyDescent="0.25">
      <c r="A81" t="s">
        <v>150</v>
      </c>
      <c r="O81" s="21" t="s">
        <v>45</v>
      </c>
      <c r="P81">
        <v>130000</v>
      </c>
      <c r="R81" s="21" t="s">
        <v>45</v>
      </c>
      <c r="S81">
        <v>65000</v>
      </c>
      <c r="U81" s="21" t="s">
        <v>45</v>
      </c>
      <c r="V81">
        <v>2</v>
      </c>
    </row>
    <row r="82" spans="1:22" x14ac:dyDescent="0.25">
      <c r="A82" t="s">
        <v>151</v>
      </c>
      <c r="O82" s="21" t="s">
        <v>198</v>
      </c>
      <c r="P82">
        <v>615000</v>
      </c>
      <c r="R82" s="21" t="s">
        <v>198</v>
      </c>
      <c r="S82">
        <v>61500</v>
      </c>
      <c r="U82" s="21" t="s">
        <v>198</v>
      </c>
      <c r="V82">
        <v>10</v>
      </c>
    </row>
    <row r="83" spans="1:22" x14ac:dyDescent="0.25">
      <c r="A83" t="s">
        <v>152</v>
      </c>
    </row>
    <row r="84" spans="1:22" x14ac:dyDescent="0.25">
      <c r="A84" t="s">
        <v>153</v>
      </c>
      <c r="O84" s="22" t="s">
        <v>194</v>
      </c>
      <c r="P84" t="s">
        <v>195</v>
      </c>
    </row>
    <row r="85" spans="1:22" x14ac:dyDescent="0.25">
      <c r="A85" t="s">
        <v>154</v>
      </c>
      <c r="O85" s="21" t="s">
        <v>38</v>
      </c>
      <c r="P85">
        <v>107000</v>
      </c>
      <c r="R85" s="22" t="s">
        <v>194</v>
      </c>
      <c r="S85" t="s">
        <v>197</v>
      </c>
      <c r="U85" s="22" t="s">
        <v>194</v>
      </c>
      <c r="V85" t="s">
        <v>197</v>
      </c>
    </row>
    <row r="86" spans="1:22" x14ac:dyDescent="0.25">
      <c r="A86" t="s">
        <v>155</v>
      </c>
      <c r="O86" s="21" t="s">
        <v>17</v>
      </c>
      <c r="P86">
        <v>108000</v>
      </c>
      <c r="R86" s="21" t="s">
        <v>16</v>
      </c>
      <c r="S86" s="23">
        <v>5</v>
      </c>
      <c r="U86" s="21" t="s">
        <v>27</v>
      </c>
      <c r="V86">
        <v>1</v>
      </c>
    </row>
    <row r="87" spans="1:22" x14ac:dyDescent="0.25">
      <c r="A87" t="s">
        <v>156</v>
      </c>
      <c r="O87" s="21" t="s">
        <v>31</v>
      </c>
      <c r="P87">
        <v>140000</v>
      </c>
      <c r="R87" s="21" t="s">
        <v>24</v>
      </c>
      <c r="S87" s="23">
        <v>5</v>
      </c>
      <c r="U87" s="21" t="s">
        <v>34</v>
      </c>
      <c r="V87">
        <v>1</v>
      </c>
    </row>
    <row r="88" spans="1:22" x14ac:dyDescent="0.25">
      <c r="A88" t="s">
        <v>157</v>
      </c>
      <c r="O88" s="21" t="s">
        <v>25</v>
      </c>
      <c r="P88">
        <v>130000</v>
      </c>
      <c r="R88" s="21" t="s">
        <v>198</v>
      </c>
      <c r="S88" s="23">
        <v>10</v>
      </c>
      <c r="U88" s="21" t="s">
        <v>66</v>
      </c>
      <c r="V88">
        <v>1</v>
      </c>
    </row>
    <row r="89" spans="1:22" x14ac:dyDescent="0.25">
      <c r="A89" t="s">
        <v>158</v>
      </c>
      <c r="O89" s="21" t="s">
        <v>45</v>
      </c>
      <c r="P89">
        <v>130000</v>
      </c>
      <c r="U89" s="21" t="s">
        <v>52</v>
      </c>
      <c r="V89">
        <v>1</v>
      </c>
    </row>
    <row r="90" spans="1:22" x14ac:dyDescent="0.25">
      <c r="A90" t="s">
        <v>159</v>
      </c>
      <c r="O90" s="21" t="s">
        <v>201</v>
      </c>
      <c r="U90" s="21" t="s">
        <v>61</v>
      </c>
      <c r="V90">
        <v>1</v>
      </c>
    </row>
    <row r="91" spans="1:22" x14ac:dyDescent="0.25">
      <c r="A91" t="s">
        <v>160</v>
      </c>
      <c r="O91" s="21" t="s">
        <v>198</v>
      </c>
      <c r="P91">
        <v>615000</v>
      </c>
      <c r="U91" s="21" t="s">
        <v>41</v>
      </c>
      <c r="V91">
        <v>1</v>
      </c>
    </row>
    <row r="92" spans="1:22" x14ac:dyDescent="0.25">
      <c r="A92" t="s">
        <v>161</v>
      </c>
      <c r="U92" s="21" t="s">
        <v>71</v>
      </c>
      <c r="V92">
        <v>1</v>
      </c>
    </row>
    <row r="93" spans="1:22" x14ac:dyDescent="0.25">
      <c r="A93" t="s">
        <v>162</v>
      </c>
      <c r="U93" s="21" t="s">
        <v>57</v>
      </c>
      <c r="V93">
        <v>1</v>
      </c>
    </row>
    <row r="94" spans="1:22" x14ac:dyDescent="0.25">
      <c r="A94" t="s">
        <v>163</v>
      </c>
      <c r="U94" s="21" t="s">
        <v>201</v>
      </c>
      <c r="V94">
        <v>2</v>
      </c>
    </row>
    <row r="95" spans="1:22" x14ac:dyDescent="0.25">
      <c r="A95" t="s">
        <v>164</v>
      </c>
      <c r="U95" s="21" t="s">
        <v>198</v>
      </c>
      <c r="V95">
        <v>10</v>
      </c>
    </row>
    <row r="96" spans="1:22" x14ac:dyDescent="0.25">
      <c r="A96" t="s">
        <v>165</v>
      </c>
    </row>
    <row r="97" spans="1:16" x14ac:dyDescent="0.25">
      <c r="A97" t="s">
        <v>166</v>
      </c>
      <c r="O97" s="15" t="s">
        <v>199</v>
      </c>
      <c r="P97" s="18">
        <f>COUNTA([1]!Table1[Employee ID])</f>
        <v>10</v>
      </c>
    </row>
    <row r="98" spans="1:16" x14ac:dyDescent="0.25">
      <c r="A98" t="s">
        <v>167</v>
      </c>
      <c r="O98" s="15" t="s">
        <v>200</v>
      </c>
      <c r="P98" s="18">
        <f>SUM([1]!Table1[Salary])</f>
        <v>615000</v>
      </c>
    </row>
    <row r="99" spans="1:16" x14ac:dyDescent="0.25">
      <c r="A99" t="s">
        <v>168</v>
      </c>
      <c r="O99" s="15" t="s">
        <v>202</v>
      </c>
      <c r="P99" s="18">
        <f>AVERAGE([1]!Table1[Salary])</f>
        <v>61500</v>
      </c>
    </row>
    <row r="100" spans="1:16" x14ac:dyDescent="0.25">
      <c r="A100" t="s">
        <v>169</v>
      </c>
      <c r="O100" s="15" t="s">
        <v>203</v>
      </c>
      <c r="P100" s="18">
        <f>MAX([1]!Table1[Salary])</f>
        <v>90000</v>
      </c>
    </row>
    <row r="101" spans="1:16" x14ac:dyDescent="0.25">
      <c r="A101" t="s">
        <v>170</v>
      </c>
    </row>
    <row r="102" spans="1:16" x14ac:dyDescent="0.25">
      <c r="A102" t="s">
        <v>171</v>
      </c>
    </row>
    <row r="103" spans="1:16" x14ac:dyDescent="0.25">
      <c r="A103" t="s">
        <v>172</v>
      </c>
    </row>
    <row r="104" spans="1:16" x14ac:dyDescent="0.25">
      <c r="A104" t="s">
        <v>173</v>
      </c>
    </row>
    <row r="105" spans="1:16" x14ac:dyDescent="0.25">
      <c r="A105" t="s">
        <v>174</v>
      </c>
    </row>
    <row r="106" spans="1:16" x14ac:dyDescent="0.25">
      <c r="A106" t="s">
        <v>175</v>
      </c>
    </row>
    <row r="107" spans="1:16" x14ac:dyDescent="0.25">
      <c r="A107" t="s">
        <v>176</v>
      </c>
    </row>
    <row r="108" spans="1:16" x14ac:dyDescent="0.25">
      <c r="A108" t="s">
        <v>177</v>
      </c>
    </row>
    <row r="109" spans="1:16" x14ac:dyDescent="0.25">
      <c r="A109" t="s">
        <v>178</v>
      </c>
    </row>
    <row r="110" spans="1:16" x14ac:dyDescent="0.25">
      <c r="A110" t="s">
        <v>179</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employee table</vt:lpstr>
      <vt:lpstr>questions with solutions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samruddhishinde7385@gmail.com</dc:creator>
  <cp:lastModifiedBy>samruddhishinde7385@gmail.com</cp:lastModifiedBy>
  <dcterms:created xsi:type="dcterms:W3CDTF">2026-09-12T14:07:23Z</dcterms:created>
  <dcterms:modified xsi:type="dcterms:W3CDTF">2026-09-12T14:59:12Z</dcterms:modified>
</cp:coreProperties>
</file>